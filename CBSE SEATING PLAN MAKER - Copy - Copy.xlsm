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554B3C7B-D378-4DEF-B6A3-AC9271C5378A}" xr6:coauthVersionLast="36" xr6:coauthVersionMax="36" xr10:uidLastSave="{00000000-0000-0000-0000-000000000000}"/>
  <bookViews>
    <workbookView xWindow="0" yWindow="0" windowWidth="20490" windowHeight="9630" activeTab="1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</sheets>
  <definedNames>
    <definedName name="CentreNo">Sheet1!$D$15</definedName>
    <definedName name="ExamDate">Sheet1!$D$16</definedName>
    <definedName name="Heading">Sheet1!$D$14</definedName>
    <definedName name="SubjectNameCode">Sheet1!$D$17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1" l="1"/>
  <c r="A2" i="1" l="1"/>
  <c r="F6" i="1" s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D7" i="1" l="1"/>
  <c r="D5" i="4"/>
  <c r="K2" i="4"/>
  <c r="J2" i="4"/>
  <c r="I2" i="4"/>
  <c r="H2" i="4"/>
  <c r="E2" i="4" s="1"/>
  <c r="D5" i="1" l="1"/>
  <c r="D8" i="1" l="1"/>
  <c r="D10" i="1" s="1"/>
  <c r="D6" i="1"/>
  <c r="D9" i="1" l="1"/>
  <c r="F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Anusha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Anusha:</t>
        </r>
        <r>
          <rPr>
            <sz val="9"/>
            <color indexed="81"/>
            <rFont val="Tahoma"/>
            <family val="2"/>
          </rPr>
          <t xml:space="preserve">
Insert names according to their physical proximity or floor wise
</t>
        </r>
      </text>
    </comment>
    <comment ref="E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Anusha:</t>
        </r>
        <r>
          <rPr>
            <sz val="9"/>
            <color indexed="81"/>
            <rFont val="Tahoma"/>
            <family val="2"/>
          </rPr>
          <t xml:space="preserve">
Keep it zero if you do not want to limit. This value shoud be lesst than Total Capacity Students per class</t>
        </r>
      </text>
    </comment>
    <comment ref="F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Anusha:</t>
        </r>
        <r>
          <rPr>
            <sz val="9"/>
            <color indexed="81"/>
            <rFont val="Tahoma"/>
            <family val="2"/>
          </rPr>
          <t xml:space="preserve">
Default Value is zero. Input a whole number</t>
        </r>
      </text>
    </comment>
  </commentList>
</comments>
</file>

<file path=xl/sharedStrings.xml><?xml version="1.0" encoding="utf-8"?>
<sst xmlns="http://schemas.openxmlformats.org/spreadsheetml/2006/main" count="223" uniqueCount="81">
  <si>
    <t>Available Rooms</t>
  </si>
  <si>
    <t>Class 10A</t>
  </si>
  <si>
    <t>Class 10B</t>
  </si>
  <si>
    <t>Class 6A</t>
  </si>
  <si>
    <t>Class 6B</t>
  </si>
  <si>
    <t>Class 8A</t>
  </si>
  <si>
    <t>Class 8B</t>
  </si>
  <si>
    <t>Class 7B</t>
  </si>
  <si>
    <t>er</t>
  </si>
  <si>
    <t>df</t>
  </si>
  <si>
    <t>sd</t>
  </si>
  <si>
    <t>hjh</t>
  </si>
  <si>
    <t>gf</t>
  </si>
  <si>
    <t>Janendra</t>
  </si>
  <si>
    <t>Ollo</t>
  </si>
  <si>
    <t>Mera naam joker</t>
  </si>
  <si>
    <t>kdjf</t>
  </si>
  <si>
    <t>Rows</t>
  </si>
  <si>
    <t>Column</t>
  </si>
  <si>
    <t>Class10A</t>
  </si>
  <si>
    <t>Class10B</t>
  </si>
  <si>
    <t>Class12A</t>
  </si>
  <si>
    <t>Class12B</t>
  </si>
  <si>
    <t>Exams taking classes</t>
  </si>
  <si>
    <t>Class room status</t>
  </si>
  <si>
    <t>Total Students</t>
  </si>
  <si>
    <t>School Name</t>
  </si>
  <si>
    <t>EXAM NAME</t>
  </si>
  <si>
    <t>First Roll No</t>
  </si>
  <si>
    <t>Last Roll No</t>
  </si>
  <si>
    <t>Total Classes</t>
  </si>
  <si>
    <t>Hindi Lab</t>
  </si>
  <si>
    <t>SST. Lab</t>
  </si>
  <si>
    <t>Maths Lab</t>
  </si>
  <si>
    <t>Class 1A</t>
  </si>
  <si>
    <t>Class 1B</t>
  </si>
  <si>
    <t>Class 1C</t>
  </si>
  <si>
    <t>Class 2A</t>
  </si>
  <si>
    <t>Class 2B</t>
  </si>
  <si>
    <t>Class 2C</t>
  </si>
  <si>
    <t>Class 3A</t>
  </si>
  <si>
    <t>Class 3B</t>
  </si>
  <si>
    <t>Class 3C</t>
  </si>
  <si>
    <t>Class 4A</t>
  </si>
  <si>
    <t>Class 4B</t>
  </si>
  <si>
    <t>Class 4C</t>
  </si>
  <si>
    <t>Class 5A</t>
  </si>
  <si>
    <t>Class 5B</t>
  </si>
  <si>
    <t>Class 5C</t>
  </si>
  <si>
    <t>Total Students Taking exams</t>
  </si>
  <si>
    <t>Total Capacity Students per class</t>
  </si>
  <si>
    <t>Limit Students per class</t>
  </si>
  <si>
    <t>If there is any Limit then</t>
  </si>
  <si>
    <t>Total Students Per class</t>
  </si>
  <si>
    <t>No. of Rooms Required</t>
  </si>
  <si>
    <t>Total Available SEATING Capacity</t>
  </si>
  <si>
    <t>Total Limited SEATING Capacity</t>
  </si>
  <si>
    <t>Class 12A</t>
  </si>
  <si>
    <t>Class 12B</t>
  </si>
  <si>
    <t>NCC ROOM</t>
  </si>
  <si>
    <t>Class 11A</t>
  </si>
  <si>
    <t>Class 11B</t>
  </si>
  <si>
    <t>EXAM DATE</t>
  </si>
  <si>
    <t>SUBJECT NAME &amp; CODE</t>
  </si>
  <si>
    <t>NAME LIST</t>
  </si>
  <si>
    <t>HEADING</t>
  </si>
  <si>
    <t>SEATING PLAN FOR CBSE EXAM - 2021</t>
  </si>
  <si>
    <t>CENTRE NO.</t>
  </si>
  <si>
    <t>822018 - KENDRIYA VIDYALAYA MIRC AHMEDNAGAR MR</t>
  </si>
  <si>
    <t>402 - INFORMATION TECHNOLOGY</t>
  </si>
  <si>
    <t>CENTRE NAME</t>
  </si>
  <si>
    <t>Secondary School Examination (Class X)</t>
  </si>
  <si>
    <t>SUBJECT</t>
  </si>
  <si>
    <t>DATE</t>
  </si>
  <si>
    <t>Roll No</t>
  </si>
  <si>
    <t>QP. Code</t>
  </si>
  <si>
    <t>Name &amp; Signature of Asstt. Superintendent</t>
  </si>
  <si>
    <t>Total No. Students</t>
  </si>
  <si>
    <t>Present</t>
  </si>
  <si>
    <t>Absent</t>
  </si>
  <si>
    <t>Signature of Centre Suprintendent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</si>
</sst>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409]d\-mmm\-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0"/>
      <name val="Times New Roman"/>
      <family val="1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E8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4" tint="-0.249977111117893"/>
      </right>
      <top/>
      <bottom/>
      <diagonal/>
    </border>
    <border>
      <left/>
      <right/>
      <top/>
      <bottom style="thin">
        <color theme="4" tint="-0.249977111117893"/>
      </bottom>
      <diagonal/>
    </border>
    <border>
      <left/>
      <right style="medium">
        <color theme="4" tint="-0.249977111117893"/>
      </right>
      <top style="medium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249977111117893"/>
      </right>
      <top/>
      <bottom style="thin">
        <color theme="4" tint="-0.249977111117893"/>
      </bottom>
      <diagonal/>
    </border>
    <border>
      <left/>
      <right style="medium">
        <color theme="4" tint="-0.249977111117893"/>
      </right>
      <top/>
      <bottom/>
      <diagonal/>
    </border>
    <border>
      <left/>
      <right style="medium">
        <color theme="4" tint="-0.249977111117893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theme="4" tint="-0.249977111117893"/>
      </top>
      <bottom style="thin">
        <color theme="4" tint="-0.249977111117893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thin">
        <color indexed="64"/>
      </top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2" borderId="0" xfId="0" applyFill="1"/>
    <xf numFmtId="0" fontId="0" fillId="3" borderId="0" xfId="0" applyFill="1"/>
    <xf numFmtId="22" fontId="0" fillId="3" borderId="0" xfId="0" applyNumberFormat="1" applyFill="1"/>
    <xf numFmtId="22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1" fillId="0" borderId="0" xfId="0" applyFont="1" applyBorder="1"/>
    <xf numFmtId="0" fontId="0" fillId="0" borderId="0" xfId="0" applyAlignment="1">
      <alignment wrapText="1"/>
    </xf>
    <xf numFmtId="0" fontId="0" fillId="0" borderId="3" xfId="0" applyBorder="1"/>
    <xf numFmtId="0" fontId="0" fillId="0" borderId="0" xfId="0" applyBorder="1"/>
    <xf numFmtId="0" fontId="0" fillId="4" borderId="10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1" fillId="4" borderId="1" xfId="0" applyFont="1" applyFill="1" applyBorder="1" applyProtection="1">
      <protection locked="0"/>
    </xf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 applyAlignment="1">
      <alignment wrapText="1"/>
    </xf>
    <xf numFmtId="0" fontId="0" fillId="4" borderId="12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0" fillId="5" borderId="16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 wrapText="1"/>
    </xf>
    <xf numFmtId="0" fontId="0" fillId="4" borderId="16" xfId="0" applyFill="1" applyBorder="1" applyProtection="1">
      <protection locked="0"/>
    </xf>
    <xf numFmtId="0" fontId="1" fillId="0" borderId="11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5" borderId="16" xfId="0" applyFont="1" applyFill="1" applyBorder="1" applyAlignment="1">
      <alignment vertical="center" wrapText="1"/>
    </xf>
    <xf numFmtId="0" fontId="1" fillId="7" borderId="16" xfId="0" applyFont="1" applyFill="1" applyBorder="1" applyAlignment="1">
      <alignment wrapText="1"/>
    </xf>
    <xf numFmtId="0" fontId="1" fillId="6" borderId="13" xfId="0" applyFont="1" applyFill="1" applyBorder="1" applyAlignment="1">
      <alignment wrapText="1"/>
    </xf>
    <xf numFmtId="0" fontId="1" fillId="6" borderId="4" xfId="0" applyFont="1" applyFill="1" applyBorder="1" applyAlignment="1">
      <alignment wrapText="1"/>
    </xf>
    <xf numFmtId="0" fontId="1" fillId="6" borderId="0" xfId="0" applyFont="1" applyFill="1" applyBorder="1"/>
    <xf numFmtId="0" fontId="1" fillId="6" borderId="4" xfId="0" applyFont="1" applyFill="1" applyBorder="1"/>
    <xf numFmtId="0" fontId="1" fillId="6" borderId="9" xfId="0" applyFont="1" applyFill="1" applyBorder="1" applyAlignment="1">
      <alignment wrapText="1"/>
    </xf>
    <xf numFmtId="0" fontId="4" fillId="0" borderId="0" xfId="0" applyFont="1" applyBorder="1" applyAlignment="1">
      <alignment vertical="center"/>
    </xf>
    <xf numFmtId="0" fontId="0" fillId="4" borderId="17" xfId="0" applyFill="1" applyBorder="1" applyProtection="1">
      <protection locked="0"/>
    </xf>
    <xf numFmtId="0" fontId="5" fillId="4" borderId="1" xfId="0" applyFont="1" applyFill="1" applyBorder="1" applyAlignment="1">
      <alignment wrapText="1"/>
    </xf>
    <xf numFmtId="0" fontId="5" fillId="4" borderId="1" xfId="0" applyFont="1" applyFill="1" applyBorder="1" applyAlignment="1" applyProtection="1">
      <alignment wrapText="1"/>
      <protection locked="0"/>
    </xf>
    <xf numFmtId="0" fontId="0" fillId="4" borderId="0" xfId="0" applyFill="1" applyProtection="1">
      <protection locked="0"/>
    </xf>
    <xf numFmtId="14" fontId="4" fillId="0" borderId="0" xfId="0" applyNumberFormat="1" applyFont="1" applyBorder="1" applyAlignment="1">
      <alignment vertical="center"/>
    </xf>
    <xf numFmtId="164" fontId="4" fillId="0" borderId="0" xfId="0" applyNumberFormat="1" applyFont="1" applyBorder="1" applyAlignment="1">
      <alignment vertical="center"/>
    </xf>
    <xf numFmtId="165" fontId="0" fillId="4" borderId="0" xfId="0" applyNumberFormat="1" applyFill="1" applyProtection="1">
      <protection locked="0"/>
    </xf>
    <xf numFmtId="15" fontId="4" fillId="0" borderId="0" xfId="0" applyNumberFormat="1" applyFont="1" applyBorder="1" applyAlignment="1">
      <alignment vertical="center"/>
    </xf>
    <xf numFmtId="0" fontId="4" fillId="0" borderId="0" xfId="0" applyFont="1" applyBorder="1" applyAlignment="1">
      <alignment vertical="center" wrapText="1"/>
    </xf>
  </cellXfs>
  <cellStyles count="1">
    <cellStyle name="Normal" xfId="0" builtinId="0"/>
  </cellStyles>
  <dxfs count="2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447675</xdr:colOff>
      <xdr:row>12</xdr:row>
      <xdr:rowOff>104775</xdr:rowOff>
    </xdr:from>
    <xdr:ext cx="2405082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638925" y="3571875"/>
          <a:ext cx="2405082" cy="26456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100"/>
            <a:t>ENTER VALUES IN</a:t>
          </a:r>
          <a:r>
            <a:rPr lang="en-IN" sz="1100" baseline="0"/>
            <a:t> YELLOW CELLS ONLY</a:t>
          </a:r>
          <a:endParaRPr lang="en-IN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8</xdr:row>
          <xdr:rowOff>276225</xdr:rowOff>
        </xdr:from>
        <xdr:to>
          <xdr:col>11</xdr:col>
          <xdr:colOff>590550</xdr:colOff>
          <xdr:row>9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Seating Arrangement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85"/>
  <sheetViews>
    <sheetView workbookViewId="0">
      <selection activeCell="J10" sqref="J10"/>
    </sheetView>
  </sheetViews>
  <sheetFormatPr defaultRowHeight="15" x14ac:dyDescent="0.25"/>
  <cols>
    <col min="1" max="1" width="15.85546875" bestFit="1" customWidth="1"/>
    <col min="3" max="3" width="23.5703125" style="8" customWidth="1"/>
    <col min="4" max="4" width="16.85546875" customWidth="1"/>
    <col min="5" max="5" width="18" customWidth="1"/>
    <col min="8" max="8" width="9.140625" style="35"/>
  </cols>
  <sheetData>
    <row r="1" spans="1:37" s="5" customFormat="1" ht="15.75" thickBot="1" x14ac:dyDescent="0.3">
      <c r="A1" s="6" t="s">
        <v>0</v>
      </c>
      <c r="B1"/>
      <c r="C1" s="8"/>
      <c r="D1"/>
      <c r="E1"/>
      <c r="F1"/>
      <c r="G1"/>
      <c r="H1" s="13" t="s">
        <v>64</v>
      </c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</row>
    <row r="2" spans="1:37" s="7" customFormat="1" ht="15.75" thickBot="1" x14ac:dyDescent="0.3">
      <c r="A2" s="7">
        <f>COUNTA(A3:A60)</f>
        <v>30</v>
      </c>
      <c r="B2"/>
      <c r="C2" s="8"/>
      <c r="D2"/>
      <c r="E2"/>
      <c r="F2"/>
      <c r="G2" t="s">
        <v>53</v>
      </c>
      <c r="H2" s="7">
        <f>COUNTA(H3:H1048576)</f>
        <v>83</v>
      </c>
      <c r="I2" s="7" t="str">
        <f t="shared" ref="I2:AK2" si="0">IF(I3="","",I4-I3+1)</f>
        <v/>
      </c>
      <c r="J2" s="7" t="str">
        <f t="shared" si="0"/>
        <v/>
      </c>
      <c r="K2" s="7" t="str">
        <f t="shared" si="0"/>
        <v/>
      </c>
      <c r="L2" s="7" t="str">
        <f t="shared" si="0"/>
        <v/>
      </c>
      <c r="M2" s="7" t="str">
        <f t="shared" si="0"/>
        <v/>
      </c>
      <c r="N2" s="7" t="str">
        <f t="shared" si="0"/>
        <v/>
      </c>
      <c r="O2" s="7" t="str">
        <f t="shared" si="0"/>
        <v/>
      </c>
      <c r="P2" s="7" t="str">
        <f t="shared" si="0"/>
        <v/>
      </c>
      <c r="Q2" s="7" t="str">
        <f t="shared" si="0"/>
        <v/>
      </c>
      <c r="R2" s="7" t="str">
        <f t="shared" si="0"/>
        <v/>
      </c>
      <c r="S2" s="7" t="str">
        <f t="shared" si="0"/>
        <v/>
      </c>
      <c r="T2" s="7" t="str">
        <f t="shared" si="0"/>
        <v/>
      </c>
      <c r="U2" s="7" t="str">
        <f t="shared" si="0"/>
        <v/>
      </c>
      <c r="V2" s="7" t="str">
        <f t="shared" si="0"/>
        <v/>
      </c>
      <c r="W2" s="7" t="str">
        <f t="shared" si="0"/>
        <v/>
      </c>
      <c r="X2" s="7" t="str">
        <f t="shared" si="0"/>
        <v/>
      </c>
      <c r="Y2" s="7" t="str">
        <f t="shared" si="0"/>
        <v/>
      </c>
      <c r="Z2" s="7" t="str">
        <f t="shared" si="0"/>
        <v/>
      </c>
      <c r="AA2" s="7" t="str">
        <f t="shared" si="0"/>
        <v/>
      </c>
      <c r="AB2" s="7" t="str">
        <f t="shared" si="0"/>
        <v/>
      </c>
      <c r="AC2" s="7" t="str">
        <f t="shared" si="0"/>
        <v/>
      </c>
      <c r="AD2" s="7" t="str">
        <f t="shared" si="0"/>
        <v/>
      </c>
      <c r="AE2" s="7" t="str">
        <f t="shared" si="0"/>
        <v/>
      </c>
      <c r="AF2" s="7" t="str">
        <f t="shared" si="0"/>
        <v/>
      </c>
      <c r="AG2" s="7" t="str">
        <f t="shared" si="0"/>
        <v/>
      </c>
      <c r="AH2" s="7" t="str">
        <f t="shared" si="0"/>
        <v/>
      </c>
      <c r="AI2" s="7" t="str">
        <f t="shared" si="0"/>
        <v/>
      </c>
      <c r="AJ2" s="7" t="str">
        <f t="shared" si="0"/>
        <v/>
      </c>
      <c r="AK2" s="7" t="str">
        <f t="shared" si="0"/>
        <v/>
      </c>
    </row>
    <row r="3" spans="1:37" x14ac:dyDescent="0.25">
      <c r="A3" s="11" t="s">
        <v>1</v>
      </c>
      <c r="C3" s="22" t="s">
        <v>17</v>
      </c>
      <c r="D3" s="17">
        <v>4</v>
      </c>
      <c r="G3" t="s">
        <v>28</v>
      </c>
      <c r="H3" s="33">
        <v>15600713</v>
      </c>
      <c r="I3" s="32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1:37" ht="15.75" thickBot="1" x14ac:dyDescent="0.3">
      <c r="A4" s="11" t="s">
        <v>2</v>
      </c>
      <c r="C4" s="23" t="s">
        <v>18</v>
      </c>
      <c r="D4" s="18">
        <v>3</v>
      </c>
      <c r="E4" s="10"/>
      <c r="F4" s="10"/>
      <c r="H4" s="33">
        <v>15600714</v>
      </c>
      <c r="I4" s="32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1:37" ht="30" customHeight="1" x14ac:dyDescent="0.25">
      <c r="A5" s="11" t="s">
        <v>57</v>
      </c>
      <c r="C5" s="24" t="s">
        <v>50</v>
      </c>
      <c r="D5" s="19">
        <f>D3*D4</f>
        <v>12</v>
      </c>
      <c r="E5" s="26" t="s">
        <v>51</v>
      </c>
      <c r="F5" s="12">
        <v>0</v>
      </c>
      <c r="H5" s="34">
        <v>15600715</v>
      </c>
    </row>
    <row r="6" spans="1:37" ht="30" customHeight="1" x14ac:dyDescent="0.25">
      <c r="A6" s="11" t="s">
        <v>58</v>
      </c>
      <c r="C6" s="24" t="s">
        <v>55</v>
      </c>
      <c r="D6" s="19">
        <f>A2*D5</f>
        <v>360</v>
      </c>
      <c r="E6" s="27" t="s">
        <v>56</v>
      </c>
      <c r="F6" s="14">
        <f>F5*A2</f>
        <v>0</v>
      </c>
      <c r="H6" s="34">
        <v>15600716</v>
      </c>
    </row>
    <row r="7" spans="1:37" ht="30" customHeight="1" x14ac:dyDescent="0.25">
      <c r="A7" s="11" t="s">
        <v>59</v>
      </c>
      <c r="C7" s="24" t="s">
        <v>23</v>
      </c>
      <c r="D7" s="19">
        <f>COUNTA(H3:AK3)</f>
        <v>1</v>
      </c>
      <c r="E7" s="28"/>
      <c r="F7" s="15"/>
      <c r="H7" s="34">
        <v>15600717</v>
      </c>
    </row>
    <row r="8" spans="1:37" ht="30" customHeight="1" x14ac:dyDescent="0.25">
      <c r="A8" s="11" t="s">
        <v>4</v>
      </c>
      <c r="C8" s="24" t="s">
        <v>49</v>
      </c>
      <c r="D8" s="19">
        <f>SUM(H2:AK2)</f>
        <v>83</v>
      </c>
      <c r="E8" s="29"/>
      <c r="F8" s="14"/>
      <c r="H8" s="34">
        <v>15600718</v>
      </c>
    </row>
    <row r="9" spans="1:37" ht="30" customHeight="1" thickBot="1" x14ac:dyDescent="0.3">
      <c r="A9" s="11" t="s">
        <v>7</v>
      </c>
      <c r="C9" s="24" t="s">
        <v>24</v>
      </c>
      <c r="D9" s="20" t="str">
        <f>IF(D8/D5 &lt;A2,"Sufficient rooms available","Not Sufficient")</f>
        <v>Sufficient rooms available</v>
      </c>
      <c r="E9" s="30" t="s">
        <v>52</v>
      </c>
      <c r="F9" s="16" t="str">
        <f>IF(F5=0,"NO LIMIT per class",IF(F6&gt;=D8,"Sufficient rooms available","Not Sufficient"))</f>
        <v>NO LIMIT per class</v>
      </c>
      <c r="H9" s="34">
        <v>15600719</v>
      </c>
      <c r="J9" s="9"/>
    </row>
    <row r="10" spans="1:37" ht="30" customHeight="1" x14ac:dyDescent="0.25">
      <c r="A10" s="11" t="s">
        <v>5</v>
      </c>
      <c r="C10" s="24" t="s">
        <v>54</v>
      </c>
      <c r="D10" s="19">
        <f>IF(F5=0,ROUNDUP(D8/D5,0),ROUNDUP(D8/F5,0))</f>
        <v>7</v>
      </c>
      <c r="H10" s="34">
        <v>15600720</v>
      </c>
    </row>
    <row r="11" spans="1:37" x14ac:dyDescent="0.25">
      <c r="A11" s="11" t="s">
        <v>6</v>
      </c>
      <c r="H11" s="34">
        <v>15600721</v>
      </c>
    </row>
    <row r="12" spans="1:37" x14ac:dyDescent="0.25">
      <c r="A12" s="11" t="s">
        <v>60</v>
      </c>
      <c r="C12" s="25" t="s">
        <v>26</v>
      </c>
      <c r="D12" s="21" t="s">
        <v>68</v>
      </c>
      <c r="H12" s="34">
        <v>15600722</v>
      </c>
    </row>
    <row r="13" spans="1:37" x14ac:dyDescent="0.25">
      <c r="A13" s="11" t="s">
        <v>61</v>
      </c>
      <c r="C13" s="25" t="s">
        <v>27</v>
      </c>
      <c r="D13" s="21" t="s">
        <v>71</v>
      </c>
      <c r="H13" s="34">
        <v>15600723</v>
      </c>
    </row>
    <row r="14" spans="1:37" x14ac:dyDescent="0.25">
      <c r="A14" s="11" t="s">
        <v>3</v>
      </c>
      <c r="C14" s="25" t="s">
        <v>65</v>
      </c>
      <c r="D14" s="21" t="s">
        <v>66</v>
      </c>
      <c r="H14" s="34">
        <v>15600724</v>
      </c>
    </row>
    <row r="15" spans="1:37" x14ac:dyDescent="0.25">
      <c r="A15" s="11" t="s">
        <v>31</v>
      </c>
      <c r="C15" s="25" t="s">
        <v>67</v>
      </c>
      <c r="D15" s="21">
        <v>822018</v>
      </c>
      <c r="H15" s="34">
        <v>15600725</v>
      </c>
    </row>
    <row r="16" spans="1:37" x14ac:dyDescent="0.25">
      <c r="A16" s="11" t="s">
        <v>32</v>
      </c>
      <c r="C16" s="25" t="s">
        <v>62</v>
      </c>
      <c r="D16" s="38">
        <v>44525</v>
      </c>
      <c r="H16" s="34">
        <v>15600726</v>
      </c>
    </row>
    <row r="17" spans="1:8" x14ac:dyDescent="0.25">
      <c r="A17" s="11" t="s">
        <v>33</v>
      </c>
      <c r="C17" s="25" t="s">
        <v>63</v>
      </c>
      <c r="D17" s="21" t="s">
        <v>69</v>
      </c>
      <c r="H17" s="34">
        <v>15600727</v>
      </c>
    </row>
    <row r="18" spans="1:8" x14ac:dyDescent="0.25">
      <c r="A18" s="11" t="s">
        <v>34</v>
      </c>
      <c r="H18" s="34">
        <v>15600728</v>
      </c>
    </row>
    <row r="19" spans="1:8" x14ac:dyDescent="0.25">
      <c r="A19" s="11" t="s">
        <v>35</v>
      </c>
      <c r="H19" s="34">
        <v>15600729</v>
      </c>
    </row>
    <row r="20" spans="1:8" x14ac:dyDescent="0.25">
      <c r="A20" s="11" t="s">
        <v>36</v>
      </c>
      <c r="H20" s="34">
        <v>15600730</v>
      </c>
    </row>
    <row r="21" spans="1:8" x14ac:dyDescent="0.25">
      <c r="A21" s="11" t="s">
        <v>37</v>
      </c>
      <c r="H21" s="34">
        <v>15600731</v>
      </c>
    </row>
    <row r="22" spans="1:8" x14ac:dyDescent="0.25">
      <c r="A22" s="11" t="s">
        <v>38</v>
      </c>
      <c r="H22" s="34">
        <v>15600732</v>
      </c>
    </row>
    <row r="23" spans="1:8" x14ac:dyDescent="0.25">
      <c r="A23" s="11" t="s">
        <v>39</v>
      </c>
      <c r="H23" s="34">
        <v>15600733</v>
      </c>
    </row>
    <row r="24" spans="1:8" x14ac:dyDescent="0.25">
      <c r="A24" s="11" t="s">
        <v>40</v>
      </c>
      <c r="H24" s="34">
        <v>15600734</v>
      </c>
    </row>
    <row r="25" spans="1:8" x14ac:dyDescent="0.25">
      <c r="A25" s="11" t="s">
        <v>41</v>
      </c>
      <c r="H25" s="34">
        <v>15600735</v>
      </c>
    </row>
    <row r="26" spans="1:8" x14ac:dyDescent="0.25">
      <c r="A26" s="11" t="s">
        <v>42</v>
      </c>
      <c r="H26" s="34">
        <v>15600736</v>
      </c>
    </row>
    <row r="27" spans="1:8" x14ac:dyDescent="0.25">
      <c r="A27" s="11" t="s">
        <v>43</v>
      </c>
      <c r="H27" s="34">
        <v>15600737</v>
      </c>
    </row>
    <row r="28" spans="1:8" x14ac:dyDescent="0.25">
      <c r="A28" s="11" t="s">
        <v>44</v>
      </c>
      <c r="H28" s="34">
        <v>15600738</v>
      </c>
    </row>
    <row r="29" spans="1:8" x14ac:dyDescent="0.25">
      <c r="A29" s="11" t="s">
        <v>45</v>
      </c>
      <c r="H29" s="34">
        <v>15600739</v>
      </c>
    </row>
    <row r="30" spans="1:8" x14ac:dyDescent="0.25">
      <c r="A30" s="11" t="s">
        <v>46</v>
      </c>
      <c r="H30" s="34">
        <v>15600740</v>
      </c>
    </row>
    <row r="31" spans="1:8" x14ac:dyDescent="0.25">
      <c r="A31" s="11" t="s">
        <v>47</v>
      </c>
      <c r="H31" s="34">
        <v>15600741</v>
      </c>
    </row>
    <row r="32" spans="1:8" x14ac:dyDescent="0.25">
      <c r="A32" s="11" t="s">
        <v>48</v>
      </c>
      <c r="H32" s="34">
        <v>15600742</v>
      </c>
    </row>
    <row r="33" spans="1:8" x14ac:dyDescent="0.25">
      <c r="A33" s="11"/>
      <c r="H33" s="34">
        <v>15600743</v>
      </c>
    </row>
    <row r="34" spans="1:8" x14ac:dyDescent="0.25">
      <c r="A34" s="11"/>
      <c r="H34" s="34">
        <v>15600744</v>
      </c>
    </row>
    <row r="35" spans="1:8" x14ac:dyDescent="0.25">
      <c r="A35" s="11"/>
      <c r="H35" s="34">
        <v>15600745</v>
      </c>
    </row>
    <row r="36" spans="1:8" x14ac:dyDescent="0.25">
      <c r="A36" s="11"/>
      <c r="H36" s="34">
        <v>15600746</v>
      </c>
    </row>
    <row r="37" spans="1:8" x14ac:dyDescent="0.25">
      <c r="A37" s="11"/>
      <c r="H37" s="34">
        <v>15600747</v>
      </c>
    </row>
    <row r="38" spans="1:8" x14ac:dyDescent="0.25">
      <c r="A38" s="11"/>
      <c r="H38" s="34">
        <v>15600748</v>
      </c>
    </row>
    <row r="39" spans="1:8" x14ac:dyDescent="0.25">
      <c r="A39" s="11"/>
      <c r="H39" s="34">
        <v>15600749</v>
      </c>
    </row>
    <row r="40" spans="1:8" x14ac:dyDescent="0.25">
      <c r="A40" s="11"/>
      <c r="H40" s="34">
        <v>15600750</v>
      </c>
    </row>
    <row r="41" spans="1:8" x14ac:dyDescent="0.25">
      <c r="A41" s="11"/>
      <c r="H41" s="34">
        <v>15600751</v>
      </c>
    </row>
    <row r="42" spans="1:8" x14ac:dyDescent="0.25">
      <c r="A42" s="11"/>
      <c r="H42" s="34">
        <v>15600752</v>
      </c>
    </row>
    <row r="43" spans="1:8" x14ac:dyDescent="0.25">
      <c r="A43" s="11"/>
      <c r="H43" s="34">
        <v>15600753</v>
      </c>
    </row>
    <row r="44" spans="1:8" x14ac:dyDescent="0.25">
      <c r="A44" s="11"/>
      <c r="H44" s="34">
        <v>15600754</v>
      </c>
    </row>
    <row r="45" spans="1:8" x14ac:dyDescent="0.25">
      <c r="A45" s="11"/>
      <c r="H45" s="34">
        <v>15600755</v>
      </c>
    </row>
    <row r="46" spans="1:8" x14ac:dyDescent="0.25">
      <c r="A46" s="11"/>
      <c r="H46" s="34">
        <v>15600756</v>
      </c>
    </row>
    <row r="47" spans="1:8" x14ac:dyDescent="0.25">
      <c r="A47" s="11"/>
      <c r="H47" s="34">
        <v>15600757</v>
      </c>
    </row>
    <row r="48" spans="1:8" x14ac:dyDescent="0.25">
      <c r="A48" s="11"/>
      <c r="H48" s="34">
        <v>15600758</v>
      </c>
    </row>
    <row r="49" spans="1:8" x14ac:dyDescent="0.25">
      <c r="A49" s="11"/>
      <c r="H49" s="34">
        <v>15600759</v>
      </c>
    </row>
    <row r="50" spans="1:8" x14ac:dyDescent="0.25">
      <c r="A50" s="11"/>
      <c r="H50" s="34">
        <v>15600760</v>
      </c>
    </row>
    <row r="51" spans="1:8" x14ac:dyDescent="0.25">
      <c r="A51" s="11"/>
      <c r="H51" s="34">
        <v>15600761</v>
      </c>
    </row>
    <row r="52" spans="1:8" x14ac:dyDescent="0.25">
      <c r="A52" s="11"/>
      <c r="H52" s="34">
        <v>15600762</v>
      </c>
    </row>
    <row r="53" spans="1:8" x14ac:dyDescent="0.25">
      <c r="A53" s="11"/>
      <c r="H53" s="34">
        <v>15600763</v>
      </c>
    </row>
    <row r="54" spans="1:8" x14ac:dyDescent="0.25">
      <c r="A54" s="11"/>
      <c r="H54" s="34">
        <v>15600764</v>
      </c>
    </row>
    <row r="55" spans="1:8" x14ac:dyDescent="0.25">
      <c r="A55" s="11"/>
      <c r="H55" s="34">
        <v>15600765</v>
      </c>
    </row>
    <row r="56" spans="1:8" x14ac:dyDescent="0.25">
      <c r="A56" s="11"/>
      <c r="H56" s="34">
        <v>15600766</v>
      </c>
    </row>
    <row r="57" spans="1:8" x14ac:dyDescent="0.25">
      <c r="A57" s="11"/>
      <c r="H57" s="34">
        <v>15600767</v>
      </c>
    </row>
    <row r="58" spans="1:8" x14ac:dyDescent="0.25">
      <c r="A58" s="11"/>
      <c r="H58" s="34">
        <v>15600768</v>
      </c>
    </row>
    <row r="59" spans="1:8" x14ac:dyDescent="0.25">
      <c r="A59" s="11"/>
      <c r="H59" s="34">
        <v>15600769</v>
      </c>
    </row>
    <row r="60" spans="1:8" x14ac:dyDescent="0.25">
      <c r="A60" s="11"/>
      <c r="H60" s="34">
        <v>15600770</v>
      </c>
    </row>
    <row r="61" spans="1:8" x14ac:dyDescent="0.25">
      <c r="H61" s="34">
        <v>15600771</v>
      </c>
    </row>
    <row r="62" spans="1:8" x14ac:dyDescent="0.25">
      <c r="H62" s="34">
        <v>15600772</v>
      </c>
    </row>
    <row r="63" spans="1:8" x14ac:dyDescent="0.25">
      <c r="H63" s="34">
        <v>15600773</v>
      </c>
    </row>
    <row r="64" spans="1:8" x14ac:dyDescent="0.25">
      <c r="H64" s="34">
        <v>15600774</v>
      </c>
    </row>
    <row r="65" spans="8:8" x14ac:dyDescent="0.25">
      <c r="H65" s="34">
        <v>15600775</v>
      </c>
    </row>
    <row r="66" spans="8:8" x14ac:dyDescent="0.25">
      <c r="H66" s="34">
        <v>15600776</v>
      </c>
    </row>
    <row r="67" spans="8:8" x14ac:dyDescent="0.25">
      <c r="H67" s="34">
        <v>15600777</v>
      </c>
    </row>
    <row r="68" spans="8:8" x14ac:dyDescent="0.25">
      <c r="H68" s="34">
        <v>15600778</v>
      </c>
    </row>
    <row r="69" spans="8:8" x14ac:dyDescent="0.25">
      <c r="H69" s="34">
        <v>15600779</v>
      </c>
    </row>
    <row r="70" spans="8:8" x14ac:dyDescent="0.25">
      <c r="H70" s="34">
        <v>15600780</v>
      </c>
    </row>
    <row r="71" spans="8:8" x14ac:dyDescent="0.25">
      <c r="H71" s="34">
        <v>15600781</v>
      </c>
    </row>
    <row r="72" spans="8:8" x14ac:dyDescent="0.25">
      <c r="H72" s="34">
        <v>15600782</v>
      </c>
    </row>
    <row r="73" spans="8:8" x14ac:dyDescent="0.25">
      <c r="H73" s="34">
        <v>15600783</v>
      </c>
    </row>
    <row r="74" spans="8:8" x14ac:dyDescent="0.25">
      <c r="H74" s="34">
        <v>15600784</v>
      </c>
    </row>
    <row r="75" spans="8:8" x14ac:dyDescent="0.25">
      <c r="H75" s="34">
        <v>15600785</v>
      </c>
    </row>
    <row r="76" spans="8:8" x14ac:dyDescent="0.25">
      <c r="H76" s="34">
        <v>15600786</v>
      </c>
    </row>
    <row r="77" spans="8:8" x14ac:dyDescent="0.25">
      <c r="H77" s="34">
        <v>15600787</v>
      </c>
    </row>
    <row r="78" spans="8:8" x14ac:dyDescent="0.25">
      <c r="H78" s="34">
        <v>15600788</v>
      </c>
    </row>
    <row r="79" spans="8:8" x14ac:dyDescent="0.25">
      <c r="H79" s="34">
        <v>15600789</v>
      </c>
    </row>
    <row r="80" spans="8:8" x14ac:dyDescent="0.25">
      <c r="H80" s="34">
        <v>15600790</v>
      </c>
    </row>
    <row r="81" spans="8:8" x14ac:dyDescent="0.25">
      <c r="H81" s="34">
        <v>15600791</v>
      </c>
    </row>
    <row r="82" spans="8:8" x14ac:dyDescent="0.25">
      <c r="H82" s="34">
        <v>15600792</v>
      </c>
    </row>
    <row r="83" spans="8:8" x14ac:dyDescent="0.25">
      <c r="H83" s="34">
        <v>15600793</v>
      </c>
    </row>
    <row r="84" spans="8:8" x14ac:dyDescent="0.25">
      <c r="H84" s="34">
        <v>15600794</v>
      </c>
    </row>
    <row r="85" spans="8:8" x14ac:dyDescent="0.25">
      <c r="H85" s="34">
        <v>15600795</v>
      </c>
    </row>
  </sheetData>
  <sheetProtection password="CA91" sheet="1" objects="1" scenarios="1"/>
  <dataValidations count="2">
    <dataValidation type="whole" operator="lessThan" allowBlank="1" showInputMessage="1" showErrorMessage="1" sqref="F5" xr:uid="{00000000-0002-0000-0000-000000000000}">
      <formula1>D5</formula1>
    </dataValidation>
    <dataValidation type="whole" operator="greaterThan" allowBlank="1" showInputMessage="1" showErrorMessage="1" errorTitle="Positive Integer" error="Positive Integer daal de KHAPITAR!!!" promptTitle="Roll No" prompt="Roll Number must be a Positive Integeer" sqref="H3:AK3" xr:uid="{00000000-0002-0000-0000-000001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2.SEATING">
                <anchor moveWithCells="1">
                  <from>
                    <xdr:col>8</xdr:col>
                    <xdr:colOff>514350</xdr:colOff>
                    <xdr:row>8</xdr:row>
                    <xdr:rowOff>276225</xdr:rowOff>
                  </from>
                  <to>
                    <xdr:col>11</xdr:col>
                    <xdr:colOff>590550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398F0E50-0C26-43FF-BF6A-FC1DE2D00290}">
            <xm:f>NOT(ISERROR(SEARCH("Not Sufficient",D9)))</xm:f>
            <xm:f>"Not Sufficient"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containsText" priority="1" operator="containsText" id="{32973BBE-2FCC-44BF-B0B1-A70BE01C101B}">
            <xm:f>NOT(ISERROR(SEARCH("Not Sufficient",F9)))</xm:f>
            <xm:f>"Not Sufficient"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m:sqref>F9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51"/>
  <sheetViews>
    <sheetView tabSelected="1" zoomScaleNormal="100" workbookViewId="0">
      <selection activeCell="E16" sqref="A1:XFD1048576"/>
    </sheetView>
  </sheetViews>
  <sheetFormatPr defaultRowHeight="18.75" x14ac:dyDescent="0.25"/>
  <cols>
    <col min="1" max="4" width="18.28515625" style="31" customWidth="1"/>
    <col min="5" max="5" width="12.7109375" style="31" bestFit="1" customWidth="1"/>
    <col min="6" max="16384" width="9.140625" style="31"/>
  </cols>
  <sheetData>
    <row r="1" spans="1:7" ht="18.75" customHeight="1" x14ac:dyDescent="0.25">
      <c r="A1" s="31" t="s">
        <v>66</v>
      </c>
    </row>
    <row r="2" spans="1:7" ht="18.75" customHeight="1" x14ac:dyDescent="0.25">
      <c r="A2" s="31" t="s">
        <v>70</v>
      </c>
      <c r="B2" s="31" t="s">
        <v>68</v>
      </c>
    </row>
    <row r="3" spans="1:7" ht="18.75" customHeight="1" x14ac:dyDescent="0.25">
      <c r="A3" s="31" t="s">
        <v>67</v>
      </c>
      <c r="B3" s="31">
        <v>822018</v>
      </c>
    </row>
    <row r="4" spans="1:7" ht="18.75" customHeight="1" x14ac:dyDescent="0.25">
      <c r="A4" s="31" t="s">
        <v>27</v>
      </c>
      <c r="B4" s="37" t="s">
        <v>71</v>
      </c>
      <c r="C4" s="37"/>
    </row>
    <row r="5" spans="1:7" ht="18.75" customHeight="1" x14ac:dyDescent="0.25">
      <c r="A5" s="31" t="s">
        <v>72</v>
      </c>
      <c r="B5" s="31" t="s">
        <v>69</v>
      </c>
    </row>
    <row r="6" spans="1:7" ht="18.75" customHeight="1" x14ac:dyDescent="0.25">
      <c r="A6" s="31" t="s">
        <v>73</v>
      </c>
      <c r="B6" s="39">
        <v>44525</v>
      </c>
    </row>
    <row r="7" spans="1:7" ht="18.75" customHeight="1" x14ac:dyDescent="0.25"/>
    <row r="8" spans="1:7" ht="18.75" customHeight="1" x14ac:dyDescent="0.25">
      <c r="A8" s="31" t="s">
        <v>1</v>
      </c>
    </row>
    <row r="9" spans="1:7" x14ac:dyDescent="0.25">
      <c r="A9" s="31" t="s">
        <v>74</v>
      </c>
      <c r="B9" s="31" t="s">
        <v>75</v>
      </c>
      <c r="C9" s="31" t="s">
        <v>74</v>
      </c>
      <c r="D9" s="31" t="s">
        <v>75</v>
      </c>
      <c r="E9" s="31" t="s">
        <v>74</v>
      </c>
      <c r="F9" s="31" t="s">
        <v>75</v>
      </c>
    </row>
    <row r="10" spans="1:7" ht="18.75" customHeight="1" x14ac:dyDescent="0.25">
      <c r="A10" s="31">
        <v>15600713</v>
      </c>
      <c r="C10" s="31">
        <v>15600717</v>
      </c>
      <c r="E10" s="31">
        <v>15600721</v>
      </c>
    </row>
    <row r="11" spans="1:7" ht="18.75" customHeight="1" x14ac:dyDescent="0.25">
      <c r="A11" s="31">
        <v>15600714</v>
      </c>
      <c r="C11" s="31">
        <v>15600718</v>
      </c>
      <c r="E11" s="31">
        <v>15600722</v>
      </c>
    </row>
    <row r="12" spans="1:7" ht="18.75" customHeight="1" x14ac:dyDescent="0.25">
      <c r="A12" s="31">
        <v>15600715</v>
      </c>
      <c r="C12" s="31">
        <v>15600719</v>
      </c>
      <c r="E12" s="31">
        <v>15600723</v>
      </c>
    </row>
    <row r="13" spans="1:7" ht="18.75" customHeight="1" x14ac:dyDescent="0.25">
      <c r="A13" s="31">
        <v>15600716</v>
      </c>
      <c r="C13" s="31">
        <v>15600720</v>
      </c>
      <c r="E13" s="31">
        <v>15600724</v>
      </c>
    </row>
    <row r="14" spans="1:7" ht="18.75" customHeight="1" x14ac:dyDescent="0.25"/>
    <row r="15" spans="1:7" ht="18.75" customHeight="1" x14ac:dyDescent="0.25">
      <c r="A15" s="40" t="s">
        <v>76</v>
      </c>
      <c r="E15" s="31" t="s">
        <v>77</v>
      </c>
      <c r="G15" s="31">
        <v>12</v>
      </c>
    </row>
    <row r="16" spans="1:7" ht="18.75" customHeight="1" x14ac:dyDescent="0.25">
      <c r="E16" s="31" t="s">
        <v>78</v>
      </c>
    </row>
    <row r="17" spans="1:6" ht="18.75" customHeight="1" x14ac:dyDescent="0.25">
      <c r="E17" s="31" t="s">
        <v>79</v>
      </c>
    </row>
    <row r="18" spans="1:6" ht="18.75" customHeight="1" x14ac:dyDescent="0.25"/>
    <row r="19" spans="1:6" ht="18.75" customHeight="1" x14ac:dyDescent="0.25">
      <c r="C19" s="40" t="s">
        <v>80</v>
      </c>
    </row>
    <row r="20" spans="1:6" ht="18.75" customHeight="1" x14ac:dyDescent="0.25"/>
    <row r="21" spans="1:6" ht="18.75" customHeight="1" x14ac:dyDescent="0.25"/>
    <row r="22" spans="1:6" ht="18.75" customHeight="1" x14ac:dyDescent="0.25"/>
    <row r="23" spans="1:6" ht="18.75" customHeight="1" x14ac:dyDescent="0.25">
      <c r="A23" s="31" t="s">
        <v>66</v>
      </c>
      <c r="B23" s="36"/>
    </row>
    <row r="24" spans="1:6" ht="18.75" customHeight="1" x14ac:dyDescent="0.25">
      <c r="A24" s="31" t="s">
        <v>70</v>
      </c>
      <c r="B24" s="31" t="s">
        <v>68</v>
      </c>
    </row>
    <row r="25" spans="1:6" ht="18.75" customHeight="1" x14ac:dyDescent="0.25">
      <c r="A25" s="31" t="s">
        <v>67</v>
      </c>
      <c r="B25" s="31">
        <v>822018</v>
      </c>
    </row>
    <row r="26" spans="1:6" ht="18.75" customHeight="1" x14ac:dyDescent="0.25">
      <c r="A26" s="31" t="s">
        <v>27</v>
      </c>
      <c r="B26" s="31" t="s">
        <v>71</v>
      </c>
    </row>
    <row r="27" spans="1:6" ht="18.75" customHeight="1" x14ac:dyDescent="0.25">
      <c r="A27" s="31" t="s">
        <v>72</v>
      </c>
      <c r="B27" s="31" t="s">
        <v>69</v>
      </c>
    </row>
    <row r="28" spans="1:6" ht="18.75" customHeight="1" x14ac:dyDescent="0.25">
      <c r="A28" s="31" t="s">
        <v>73</v>
      </c>
      <c r="B28" s="39">
        <v>44525</v>
      </c>
    </row>
    <row r="29" spans="1:6" ht="18.75" customHeight="1" x14ac:dyDescent="0.25"/>
    <row r="30" spans="1:6" ht="18.75" customHeight="1" x14ac:dyDescent="0.25">
      <c r="A30" s="31" t="s">
        <v>2</v>
      </c>
    </row>
    <row r="31" spans="1:6" ht="18.75" customHeight="1" x14ac:dyDescent="0.25">
      <c r="A31" s="31" t="s">
        <v>74</v>
      </c>
      <c r="B31" s="31" t="s">
        <v>75</v>
      </c>
      <c r="C31" s="31" t="s">
        <v>74</v>
      </c>
      <c r="D31" s="31" t="s">
        <v>75</v>
      </c>
      <c r="E31" s="31" t="s">
        <v>74</v>
      </c>
      <c r="F31" s="31" t="s">
        <v>75</v>
      </c>
    </row>
    <row r="32" spans="1:6" ht="18.75" customHeight="1" x14ac:dyDescent="0.25">
      <c r="A32" s="31">
        <v>15600725</v>
      </c>
      <c r="C32" s="31">
        <v>15600729</v>
      </c>
      <c r="E32" s="31">
        <v>15600733</v>
      </c>
    </row>
    <row r="33" spans="1:7" ht="18.75" customHeight="1" x14ac:dyDescent="0.25">
      <c r="A33" s="31">
        <v>15600726</v>
      </c>
      <c r="C33" s="31">
        <v>15600730</v>
      </c>
      <c r="E33" s="31">
        <v>15600734</v>
      </c>
    </row>
    <row r="34" spans="1:7" ht="18.75" customHeight="1" x14ac:dyDescent="0.25">
      <c r="A34" s="31">
        <v>15600727</v>
      </c>
      <c r="C34" s="31">
        <v>15600731</v>
      </c>
      <c r="E34" s="31">
        <v>15600735</v>
      </c>
    </row>
    <row r="35" spans="1:7" ht="18.75" customHeight="1" x14ac:dyDescent="0.25">
      <c r="A35" s="31">
        <v>15600728</v>
      </c>
      <c r="C35" s="31">
        <v>15600732</v>
      </c>
      <c r="E35" s="31">
        <v>15600736</v>
      </c>
    </row>
    <row r="36" spans="1:7" ht="18.75" customHeight="1" x14ac:dyDescent="0.25"/>
    <row r="37" spans="1:7" ht="18.75" customHeight="1" x14ac:dyDescent="0.25">
      <c r="A37" s="40" t="s">
        <v>76</v>
      </c>
      <c r="E37" s="31" t="s">
        <v>77</v>
      </c>
      <c r="G37" s="31">
        <v>12</v>
      </c>
    </row>
    <row r="38" spans="1:7" ht="18.75" customHeight="1" x14ac:dyDescent="0.25">
      <c r="E38" s="31" t="s">
        <v>78</v>
      </c>
    </row>
    <row r="39" spans="1:7" ht="18.75" customHeight="1" x14ac:dyDescent="0.25">
      <c r="E39" s="31" t="s">
        <v>79</v>
      </c>
    </row>
    <row r="40" spans="1:7" ht="18.75" customHeight="1" x14ac:dyDescent="0.25"/>
    <row r="41" spans="1:7" ht="18.75" customHeight="1" x14ac:dyDescent="0.25">
      <c r="C41" s="40" t="s">
        <v>80</v>
      </c>
    </row>
    <row r="42" spans="1:7" ht="18.75" customHeight="1" x14ac:dyDescent="0.25">
      <c r="B42" s="36"/>
    </row>
    <row r="43" spans="1:7" ht="18.75" customHeight="1" x14ac:dyDescent="0.25"/>
    <row r="44" spans="1:7" ht="18.75" customHeight="1" x14ac:dyDescent="0.25"/>
    <row r="45" spans="1:7" ht="18.75" customHeight="1" x14ac:dyDescent="0.25">
      <c r="A45" s="31" t="s">
        <v>66</v>
      </c>
    </row>
    <row r="46" spans="1:7" ht="18.75" customHeight="1" x14ac:dyDescent="0.25">
      <c r="A46" s="31" t="s">
        <v>70</v>
      </c>
      <c r="B46" s="31" t="s">
        <v>68</v>
      </c>
    </row>
    <row r="47" spans="1:7" ht="18.75" customHeight="1" x14ac:dyDescent="0.25">
      <c r="A47" s="31" t="s">
        <v>67</v>
      </c>
      <c r="B47" s="31">
        <v>822018</v>
      </c>
    </row>
    <row r="48" spans="1:7" ht="18.75" customHeight="1" x14ac:dyDescent="0.25">
      <c r="A48" s="31" t="s">
        <v>27</v>
      </c>
      <c r="B48" s="31" t="s">
        <v>71</v>
      </c>
    </row>
    <row r="49" spans="1:7" ht="18.75" customHeight="1" x14ac:dyDescent="0.25">
      <c r="A49" s="31" t="s">
        <v>72</v>
      </c>
      <c r="B49" s="31" t="s">
        <v>69</v>
      </c>
    </row>
    <row r="50" spans="1:7" ht="18.75" customHeight="1" x14ac:dyDescent="0.25">
      <c r="A50" s="31" t="s">
        <v>73</v>
      </c>
      <c r="B50" s="39">
        <v>44525</v>
      </c>
    </row>
    <row r="51" spans="1:7" ht="18.75" customHeight="1" x14ac:dyDescent="0.25"/>
    <row r="52" spans="1:7" ht="18.75" customHeight="1" x14ac:dyDescent="0.25">
      <c r="A52" s="31" t="s">
        <v>57</v>
      </c>
    </row>
    <row r="53" spans="1:7" ht="18.75" customHeight="1" x14ac:dyDescent="0.25">
      <c r="A53" s="31" t="s">
        <v>74</v>
      </c>
      <c r="B53" s="31" t="s">
        <v>75</v>
      </c>
      <c r="C53" s="31" t="s">
        <v>74</v>
      </c>
      <c r="D53" s="31" t="s">
        <v>75</v>
      </c>
      <c r="E53" s="31" t="s">
        <v>74</v>
      </c>
      <c r="F53" s="31" t="s">
        <v>75</v>
      </c>
    </row>
    <row r="54" spans="1:7" ht="18.75" customHeight="1" x14ac:dyDescent="0.25">
      <c r="A54" s="31">
        <v>15600737</v>
      </c>
      <c r="C54" s="31">
        <v>15600741</v>
      </c>
      <c r="E54" s="31">
        <v>15600745</v>
      </c>
    </row>
    <row r="55" spans="1:7" ht="18.75" customHeight="1" x14ac:dyDescent="0.25">
      <c r="A55" s="31">
        <v>15600738</v>
      </c>
      <c r="C55" s="31">
        <v>15600742</v>
      </c>
      <c r="E55" s="31">
        <v>15600746</v>
      </c>
    </row>
    <row r="56" spans="1:7" ht="18.75" customHeight="1" x14ac:dyDescent="0.25">
      <c r="A56" s="31">
        <v>15600739</v>
      </c>
      <c r="C56" s="31">
        <v>15600743</v>
      </c>
      <c r="E56" s="31">
        <v>15600747</v>
      </c>
    </row>
    <row r="57" spans="1:7" ht="18.75" customHeight="1" x14ac:dyDescent="0.25">
      <c r="A57" s="31">
        <v>15600740</v>
      </c>
      <c r="C57" s="31">
        <v>15600744</v>
      </c>
      <c r="E57" s="31">
        <v>15600748</v>
      </c>
    </row>
    <row r="58" spans="1:7" ht="18.75" customHeight="1" x14ac:dyDescent="0.25"/>
    <row r="59" spans="1:7" ht="18.75" customHeight="1" x14ac:dyDescent="0.25">
      <c r="A59" s="40" t="s">
        <v>76</v>
      </c>
      <c r="E59" s="31" t="s">
        <v>77</v>
      </c>
      <c r="G59" s="31">
        <v>12</v>
      </c>
    </row>
    <row r="60" spans="1:7" ht="18.75" customHeight="1" x14ac:dyDescent="0.25">
      <c r="E60" s="31" t="s">
        <v>78</v>
      </c>
    </row>
    <row r="61" spans="1:7" ht="18.75" customHeight="1" x14ac:dyDescent="0.25">
      <c r="B61" s="36"/>
      <c r="E61" s="31" t="s">
        <v>79</v>
      </c>
    </row>
    <row r="62" spans="1:7" ht="18.75" customHeight="1" x14ac:dyDescent="0.25"/>
    <row r="63" spans="1:7" ht="18.75" customHeight="1" x14ac:dyDescent="0.25">
      <c r="C63" s="40" t="s">
        <v>80</v>
      </c>
    </row>
    <row r="64" spans="1:7" ht="18.75" customHeight="1" x14ac:dyDescent="0.25"/>
    <row r="65" spans="1:6" ht="18.75" customHeight="1" x14ac:dyDescent="0.25"/>
    <row r="66" spans="1:6" ht="18.75" customHeight="1" x14ac:dyDescent="0.25"/>
    <row r="67" spans="1:6" ht="18.75" customHeight="1" x14ac:dyDescent="0.25">
      <c r="A67" s="31" t="s">
        <v>66</v>
      </c>
    </row>
    <row r="68" spans="1:6" ht="18.75" customHeight="1" x14ac:dyDescent="0.25">
      <c r="A68" s="31" t="s">
        <v>70</v>
      </c>
      <c r="B68" s="31" t="s">
        <v>68</v>
      </c>
    </row>
    <row r="69" spans="1:6" ht="18.75" customHeight="1" x14ac:dyDescent="0.25">
      <c r="A69" s="31" t="s">
        <v>67</v>
      </c>
      <c r="B69" s="31">
        <v>822018</v>
      </c>
    </row>
    <row r="70" spans="1:6" ht="18.75" customHeight="1" x14ac:dyDescent="0.25">
      <c r="A70" s="31" t="s">
        <v>27</v>
      </c>
      <c r="B70" s="31" t="s">
        <v>71</v>
      </c>
    </row>
    <row r="71" spans="1:6" ht="18.75" customHeight="1" x14ac:dyDescent="0.25">
      <c r="A71" s="31" t="s">
        <v>72</v>
      </c>
      <c r="B71" s="31" t="s">
        <v>69</v>
      </c>
    </row>
    <row r="72" spans="1:6" ht="18.75" customHeight="1" x14ac:dyDescent="0.25">
      <c r="A72" s="31" t="s">
        <v>73</v>
      </c>
      <c r="B72" s="39">
        <v>44525</v>
      </c>
    </row>
    <row r="73" spans="1:6" ht="18.75" customHeight="1" x14ac:dyDescent="0.25"/>
    <row r="74" spans="1:6" ht="18.75" customHeight="1" x14ac:dyDescent="0.25">
      <c r="A74" s="31" t="s">
        <v>58</v>
      </c>
    </row>
    <row r="75" spans="1:6" ht="18.75" customHeight="1" x14ac:dyDescent="0.25">
      <c r="A75" s="31" t="s">
        <v>74</v>
      </c>
      <c r="B75" s="31" t="s">
        <v>75</v>
      </c>
      <c r="C75" s="31" t="s">
        <v>74</v>
      </c>
      <c r="D75" s="31" t="s">
        <v>75</v>
      </c>
      <c r="E75" s="31" t="s">
        <v>74</v>
      </c>
      <c r="F75" s="31" t="s">
        <v>75</v>
      </c>
    </row>
    <row r="76" spans="1:6" ht="18.75" customHeight="1" x14ac:dyDescent="0.25">
      <c r="A76" s="31">
        <v>15600749</v>
      </c>
      <c r="C76" s="31">
        <v>15600753</v>
      </c>
      <c r="E76" s="31">
        <v>15600757</v>
      </c>
    </row>
    <row r="77" spans="1:6" ht="18.75" customHeight="1" x14ac:dyDescent="0.25">
      <c r="A77" s="31">
        <v>15600750</v>
      </c>
      <c r="C77" s="31">
        <v>15600754</v>
      </c>
      <c r="E77" s="31">
        <v>15600758</v>
      </c>
    </row>
    <row r="78" spans="1:6" ht="18.75" customHeight="1" x14ac:dyDescent="0.25">
      <c r="A78" s="31">
        <v>15600751</v>
      </c>
      <c r="C78" s="31">
        <v>15600755</v>
      </c>
      <c r="E78" s="31">
        <v>15600759</v>
      </c>
    </row>
    <row r="79" spans="1:6" ht="18.75" customHeight="1" x14ac:dyDescent="0.25">
      <c r="A79" s="31">
        <v>15600752</v>
      </c>
      <c r="C79" s="31">
        <v>15600756</v>
      </c>
      <c r="E79" s="31">
        <v>15600760</v>
      </c>
    </row>
    <row r="80" spans="1:6" ht="18.75" customHeight="1" x14ac:dyDescent="0.25">
      <c r="B80" s="36"/>
    </row>
    <row r="81" spans="1:7" ht="18.75" customHeight="1" x14ac:dyDescent="0.25">
      <c r="A81" s="40" t="s">
        <v>76</v>
      </c>
      <c r="E81" s="31" t="s">
        <v>77</v>
      </c>
      <c r="G81" s="31">
        <v>12</v>
      </c>
    </row>
    <row r="82" spans="1:7" ht="18.75" customHeight="1" x14ac:dyDescent="0.25">
      <c r="E82" s="31" t="s">
        <v>78</v>
      </c>
    </row>
    <row r="83" spans="1:7" ht="18.75" customHeight="1" x14ac:dyDescent="0.25">
      <c r="E83" s="31" t="s">
        <v>79</v>
      </c>
    </row>
    <row r="84" spans="1:7" ht="18.75" customHeight="1" x14ac:dyDescent="0.25"/>
    <row r="85" spans="1:7" ht="18.75" customHeight="1" x14ac:dyDescent="0.25">
      <c r="C85" s="40" t="s">
        <v>80</v>
      </c>
    </row>
    <row r="86" spans="1:7" ht="18.75" customHeight="1" x14ac:dyDescent="0.25"/>
    <row r="87" spans="1:7" ht="18.75" customHeight="1" x14ac:dyDescent="0.25"/>
    <row r="88" spans="1:7" ht="18.75" customHeight="1" x14ac:dyDescent="0.25"/>
    <row r="89" spans="1:7" ht="18.75" customHeight="1" x14ac:dyDescent="0.25">
      <c r="A89" s="31" t="s">
        <v>66</v>
      </c>
    </row>
    <row r="90" spans="1:7" ht="18.75" customHeight="1" x14ac:dyDescent="0.25">
      <c r="A90" s="31" t="s">
        <v>70</v>
      </c>
      <c r="B90" s="31" t="s">
        <v>68</v>
      </c>
    </row>
    <row r="91" spans="1:7" ht="18.75" customHeight="1" x14ac:dyDescent="0.25">
      <c r="A91" s="31" t="s">
        <v>67</v>
      </c>
      <c r="B91" s="31">
        <v>822018</v>
      </c>
    </row>
    <row r="92" spans="1:7" ht="18.75" customHeight="1" x14ac:dyDescent="0.25">
      <c r="A92" s="31" t="s">
        <v>27</v>
      </c>
      <c r="B92" s="31" t="s">
        <v>71</v>
      </c>
    </row>
    <row r="93" spans="1:7" ht="18.75" customHeight="1" x14ac:dyDescent="0.25">
      <c r="A93" s="31" t="s">
        <v>72</v>
      </c>
      <c r="B93" s="31" t="s">
        <v>69</v>
      </c>
    </row>
    <row r="94" spans="1:7" ht="18.75" customHeight="1" x14ac:dyDescent="0.25">
      <c r="A94" s="31" t="s">
        <v>73</v>
      </c>
      <c r="B94" s="39">
        <v>44525</v>
      </c>
    </row>
    <row r="95" spans="1:7" ht="18.75" customHeight="1" x14ac:dyDescent="0.25"/>
    <row r="96" spans="1:7" ht="18.75" customHeight="1" x14ac:dyDescent="0.25">
      <c r="A96" s="31" t="s">
        <v>59</v>
      </c>
    </row>
    <row r="97" spans="1:7" ht="18.75" customHeight="1" x14ac:dyDescent="0.25">
      <c r="A97" s="31" t="s">
        <v>74</v>
      </c>
      <c r="B97" s="31" t="s">
        <v>75</v>
      </c>
      <c r="C97" s="31" t="s">
        <v>74</v>
      </c>
      <c r="D97" s="31" t="s">
        <v>75</v>
      </c>
      <c r="E97" s="31" t="s">
        <v>74</v>
      </c>
      <c r="F97" s="31" t="s">
        <v>75</v>
      </c>
    </row>
    <row r="98" spans="1:7" ht="18.75" customHeight="1" x14ac:dyDescent="0.25">
      <c r="A98" s="31">
        <v>15600761</v>
      </c>
      <c r="C98" s="31">
        <v>15600765</v>
      </c>
      <c r="E98" s="31">
        <v>15600769</v>
      </c>
    </row>
    <row r="99" spans="1:7" ht="18.75" customHeight="1" x14ac:dyDescent="0.25">
      <c r="A99" s="31">
        <v>15600762</v>
      </c>
      <c r="B99" s="36"/>
      <c r="C99" s="31">
        <v>15600766</v>
      </c>
      <c r="E99" s="31">
        <v>15600770</v>
      </c>
    </row>
    <row r="100" spans="1:7" ht="18.75" customHeight="1" x14ac:dyDescent="0.25">
      <c r="A100" s="31">
        <v>15600763</v>
      </c>
      <c r="C100" s="31">
        <v>15600767</v>
      </c>
      <c r="E100" s="31">
        <v>15600771</v>
      </c>
    </row>
    <row r="101" spans="1:7" ht="18.75" customHeight="1" x14ac:dyDescent="0.25">
      <c r="A101" s="31">
        <v>15600764</v>
      </c>
      <c r="C101" s="31">
        <v>15600768</v>
      </c>
      <c r="E101" s="31">
        <v>15600772</v>
      </c>
    </row>
    <row r="102" spans="1:7" ht="18.75" customHeight="1" x14ac:dyDescent="0.25"/>
    <row r="103" spans="1:7" ht="18.75" customHeight="1" x14ac:dyDescent="0.25">
      <c r="A103" s="40" t="s">
        <v>76</v>
      </c>
      <c r="E103" s="31" t="s">
        <v>77</v>
      </c>
      <c r="G103" s="31">
        <v>12</v>
      </c>
    </row>
    <row r="104" spans="1:7" ht="18.75" customHeight="1" x14ac:dyDescent="0.25">
      <c r="E104" s="31" t="s">
        <v>78</v>
      </c>
    </row>
    <row r="105" spans="1:7" ht="18.75" customHeight="1" x14ac:dyDescent="0.25">
      <c r="E105" s="31" t="s">
        <v>79</v>
      </c>
    </row>
    <row r="106" spans="1:7" ht="18.75" customHeight="1" x14ac:dyDescent="0.25"/>
    <row r="107" spans="1:7" ht="18.75" customHeight="1" x14ac:dyDescent="0.25">
      <c r="C107" s="40" t="s">
        <v>80</v>
      </c>
    </row>
    <row r="111" spans="1:7" x14ac:dyDescent="0.25">
      <c r="A111" s="31" t="s">
        <v>66</v>
      </c>
    </row>
    <row r="112" spans="1:7" x14ac:dyDescent="0.25">
      <c r="A112" s="31" t="s">
        <v>70</v>
      </c>
      <c r="B112" s="31" t="s">
        <v>68</v>
      </c>
    </row>
    <row r="113" spans="1:7" x14ac:dyDescent="0.25">
      <c r="A113" s="31" t="s">
        <v>67</v>
      </c>
      <c r="B113" s="31">
        <v>822018</v>
      </c>
    </row>
    <row r="114" spans="1:7" x14ac:dyDescent="0.25">
      <c r="A114" s="31" t="s">
        <v>27</v>
      </c>
      <c r="B114" s="31" t="s">
        <v>71</v>
      </c>
    </row>
    <row r="115" spans="1:7" x14ac:dyDescent="0.25">
      <c r="A115" s="31" t="s">
        <v>72</v>
      </c>
      <c r="B115" s="31" t="s">
        <v>69</v>
      </c>
    </row>
    <row r="116" spans="1:7" x14ac:dyDescent="0.25">
      <c r="A116" s="31" t="s">
        <v>73</v>
      </c>
      <c r="B116" s="39">
        <v>44525</v>
      </c>
    </row>
    <row r="118" spans="1:7" x14ac:dyDescent="0.25">
      <c r="A118" s="31" t="s">
        <v>4</v>
      </c>
      <c r="B118" s="36"/>
    </row>
    <row r="119" spans="1:7" x14ac:dyDescent="0.25">
      <c r="A119" s="31" t="s">
        <v>74</v>
      </c>
      <c r="B119" s="31" t="s">
        <v>75</v>
      </c>
      <c r="C119" s="31" t="s">
        <v>74</v>
      </c>
      <c r="D119" s="31" t="s">
        <v>75</v>
      </c>
      <c r="E119" s="31" t="s">
        <v>74</v>
      </c>
      <c r="F119" s="31" t="s">
        <v>75</v>
      </c>
    </row>
    <row r="120" spans="1:7" x14ac:dyDescent="0.25">
      <c r="A120" s="31">
        <v>15600773</v>
      </c>
      <c r="C120" s="31">
        <v>15600777</v>
      </c>
      <c r="E120" s="31">
        <v>15600781</v>
      </c>
    </row>
    <row r="121" spans="1:7" x14ac:dyDescent="0.25">
      <c r="A121" s="31">
        <v>15600774</v>
      </c>
      <c r="C121" s="31">
        <v>15600778</v>
      </c>
      <c r="E121" s="31">
        <v>15600782</v>
      </c>
    </row>
    <row r="122" spans="1:7" x14ac:dyDescent="0.25">
      <c r="A122" s="31">
        <v>15600775</v>
      </c>
      <c r="C122" s="31">
        <v>15600779</v>
      </c>
      <c r="E122" s="31">
        <v>15600783</v>
      </c>
    </row>
    <row r="123" spans="1:7" x14ac:dyDescent="0.25">
      <c r="A123" s="31">
        <v>15600776</v>
      </c>
      <c r="C123" s="31">
        <v>15600780</v>
      </c>
      <c r="E123" s="31">
        <v>15600784</v>
      </c>
    </row>
    <row r="125" spans="1:7" ht="93.75" x14ac:dyDescent="0.25">
      <c r="A125" s="40" t="s">
        <v>76</v>
      </c>
      <c r="E125" s="31" t="s">
        <v>77</v>
      </c>
      <c r="G125" s="31">
        <v>12</v>
      </c>
    </row>
    <row r="126" spans="1:7" x14ac:dyDescent="0.25">
      <c r="E126" s="31" t="s">
        <v>78</v>
      </c>
    </row>
    <row r="127" spans="1:7" x14ac:dyDescent="0.25">
      <c r="E127" s="31" t="s">
        <v>79</v>
      </c>
    </row>
    <row r="129" spans="1:6" ht="56.25" x14ac:dyDescent="0.25">
      <c r="C129" s="40" t="s">
        <v>80</v>
      </c>
    </row>
    <row r="133" spans="1:6" x14ac:dyDescent="0.25">
      <c r="A133" s="31" t="s">
        <v>66</v>
      </c>
    </row>
    <row r="134" spans="1:6" x14ac:dyDescent="0.25">
      <c r="A134" s="31" t="s">
        <v>70</v>
      </c>
      <c r="B134" s="31" t="s">
        <v>68</v>
      </c>
    </row>
    <row r="135" spans="1:6" x14ac:dyDescent="0.25">
      <c r="A135" s="31" t="s">
        <v>67</v>
      </c>
      <c r="B135" s="31">
        <v>822018</v>
      </c>
    </row>
    <row r="136" spans="1:6" x14ac:dyDescent="0.25">
      <c r="A136" s="31" t="s">
        <v>27</v>
      </c>
      <c r="B136" s="31" t="s">
        <v>71</v>
      </c>
    </row>
    <row r="137" spans="1:6" x14ac:dyDescent="0.25">
      <c r="A137" s="31" t="s">
        <v>72</v>
      </c>
      <c r="B137" s="31" t="s">
        <v>69</v>
      </c>
    </row>
    <row r="138" spans="1:6" x14ac:dyDescent="0.25">
      <c r="A138" s="31" t="s">
        <v>73</v>
      </c>
      <c r="B138" s="39">
        <v>44525</v>
      </c>
    </row>
    <row r="140" spans="1:6" x14ac:dyDescent="0.25">
      <c r="A140" s="31" t="s">
        <v>7</v>
      </c>
    </row>
    <row r="141" spans="1:6" x14ac:dyDescent="0.25">
      <c r="A141" s="31" t="s">
        <v>74</v>
      </c>
      <c r="B141" s="31" t="s">
        <v>75</v>
      </c>
      <c r="C141" s="31" t="s">
        <v>74</v>
      </c>
      <c r="D141" s="31" t="s">
        <v>75</v>
      </c>
      <c r="E141" s="31" t="s">
        <v>74</v>
      </c>
      <c r="F141" s="31" t="s">
        <v>75</v>
      </c>
    </row>
    <row r="142" spans="1:6" x14ac:dyDescent="0.25">
      <c r="A142" s="31">
        <v>15600785</v>
      </c>
      <c r="C142" s="31">
        <v>15600789</v>
      </c>
      <c r="E142" s="31">
        <v>15600793</v>
      </c>
    </row>
    <row r="143" spans="1:6" x14ac:dyDescent="0.25">
      <c r="A143" s="31">
        <v>15600786</v>
      </c>
      <c r="C143" s="31">
        <v>15600790</v>
      </c>
      <c r="E143" s="31">
        <v>15600794</v>
      </c>
    </row>
    <row r="144" spans="1:6" x14ac:dyDescent="0.25">
      <c r="A144" s="31">
        <v>15600787</v>
      </c>
      <c r="C144" s="31">
        <v>15600791</v>
      </c>
      <c r="E144" s="31">
        <v>15600795</v>
      </c>
    </row>
    <row r="145" spans="1:7" x14ac:dyDescent="0.25">
      <c r="A145" s="31">
        <v>15600788</v>
      </c>
      <c r="C145" s="31">
        <v>15600792</v>
      </c>
    </row>
    <row r="147" spans="1:7" ht="93.75" x14ac:dyDescent="0.25">
      <c r="A147" s="40" t="s">
        <v>76</v>
      </c>
      <c r="E147" s="31" t="s">
        <v>77</v>
      </c>
      <c r="G147" s="31">
        <v>12</v>
      </c>
    </row>
    <row r="148" spans="1:7" x14ac:dyDescent="0.25">
      <c r="E148" s="31" t="s">
        <v>78</v>
      </c>
    </row>
    <row r="149" spans="1:7" x14ac:dyDescent="0.25">
      <c r="E149" s="31" t="s">
        <v>79</v>
      </c>
    </row>
    <row r="151" spans="1:7" ht="56.25" x14ac:dyDescent="0.25">
      <c r="C151" s="40" t="s">
        <v>80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3"/>
  <sheetViews>
    <sheetView workbookViewId="0">
      <selection activeCell="A4" sqref="A4"/>
    </sheetView>
  </sheetViews>
  <sheetFormatPr defaultRowHeight="15" x14ac:dyDescent="0.25"/>
  <cols>
    <col min="1" max="1" width="7.28515625" customWidth="1"/>
    <col min="2" max="2" width="15.5703125" bestFit="1" customWidth="1"/>
    <col min="3" max="8" width="7.28515625" customWidth="1"/>
  </cols>
  <sheetData>
    <row r="1" spans="1:14" ht="35.1" customHeight="1" x14ac:dyDescent="0.25">
      <c r="A1" s="1" t="s">
        <v>8</v>
      </c>
      <c r="B1" s="3">
        <v>44290.521006944444</v>
      </c>
      <c r="D1" s="2"/>
      <c r="F1" s="2"/>
      <c r="H1" s="2"/>
    </row>
    <row r="2" spans="1:14" ht="35.1" customHeight="1" x14ac:dyDescent="0.25">
      <c r="A2" s="2" t="s">
        <v>13</v>
      </c>
      <c r="B2" s="4">
        <v>44290.521099537036</v>
      </c>
      <c r="C2" s="2"/>
      <c r="E2" s="2"/>
      <c r="G2" s="2"/>
    </row>
    <row r="3" spans="1:14" ht="35.1" customHeight="1" x14ac:dyDescent="0.25">
      <c r="A3" t="s">
        <v>16</v>
      </c>
      <c r="B3" s="3">
        <v>44290.521296296298</v>
      </c>
      <c r="D3" s="2"/>
      <c r="F3" s="2"/>
      <c r="H3" s="2"/>
    </row>
    <row r="4" spans="1:14" ht="35.1" customHeight="1" x14ac:dyDescent="0.25">
      <c r="A4" s="2" t="s">
        <v>14</v>
      </c>
      <c r="B4" s="4">
        <v>44290.521180555559</v>
      </c>
      <c r="C4" s="2"/>
      <c r="E4" s="2"/>
      <c r="G4" s="2"/>
    </row>
    <row r="5" spans="1:14" ht="35.1" customHeight="1" x14ac:dyDescent="0.25">
      <c r="A5" t="s">
        <v>15</v>
      </c>
      <c r="B5" s="3">
        <v>44290.521238425928</v>
      </c>
      <c r="D5" s="2"/>
      <c r="F5" s="2"/>
      <c r="H5" s="2"/>
      <c r="I5" t="s">
        <v>9</v>
      </c>
      <c r="J5" t="s">
        <v>11</v>
      </c>
      <c r="N5" t="s">
        <v>9</v>
      </c>
    </row>
    <row r="6" spans="1:14" ht="35.1" customHeight="1" x14ac:dyDescent="0.25">
      <c r="A6" s="2"/>
      <c r="C6" s="2"/>
      <c r="E6" s="2"/>
      <c r="G6" s="2"/>
      <c r="I6" t="s">
        <v>9</v>
      </c>
      <c r="N6" t="s">
        <v>9</v>
      </c>
    </row>
    <row r="7" spans="1:14" ht="35.1" customHeight="1" x14ac:dyDescent="0.25">
      <c r="B7" s="2"/>
      <c r="D7" s="2"/>
      <c r="F7" s="2"/>
      <c r="H7" s="2"/>
    </row>
    <row r="8" spans="1:14" ht="35.1" customHeight="1" x14ac:dyDescent="0.25">
      <c r="A8" s="2"/>
      <c r="C8" s="2"/>
      <c r="E8" s="2"/>
      <c r="G8" s="2"/>
    </row>
    <row r="11" spans="1:14" x14ac:dyDescent="0.25">
      <c r="G11" t="s">
        <v>10</v>
      </c>
    </row>
    <row r="12" spans="1:14" x14ac:dyDescent="0.25">
      <c r="G12" t="s">
        <v>10</v>
      </c>
    </row>
    <row r="13" spans="1:14" x14ac:dyDescent="0.25">
      <c r="G13" t="s">
        <v>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C1:K5"/>
  <sheetViews>
    <sheetView topLeftCell="C1" workbookViewId="0">
      <selection activeCell="G3" sqref="G3"/>
    </sheetView>
  </sheetViews>
  <sheetFormatPr defaultRowHeight="15" x14ac:dyDescent="0.25"/>
  <sheetData>
    <row r="1" spans="3:11" x14ac:dyDescent="0.25">
      <c r="H1" s="5" t="s">
        <v>19</v>
      </c>
      <c r="I1" s="5" t="s">
        <v>20</v>
      </c>
      <c r="J1" s="5" t="s">
        <v>21</v>
      </c>
      <c r="K1" s="5" t="s">
        <v>22</v>
      </c>
    </row>
    <row r="2" spans="3:11" x14ac:dyDescent="0.25">
      <c r="D2" t="s">
        <v>30</v>
      </c>
      <c r="E2">
        <f>COUNTA(H2:AU2)</f>
        <v>4</v>
      </c>
      <c r="H2" s="7">
        <f>H4-H3+1</f>
        <v>41</v>
      </c>
      <c r="I2" s="7">
        <f t="shared" ref="I2:K2" si="0">I4-I3+1</f>
        <v>42</v>
      </c>
      <c r="J2" s="7">
        <f t="shared" si="0"/>
        <v>35</v>
      </c>
      <c r="K2" s="7">
        <f t="shared" si="0"/>
        <v>20</v>
      </c>
    </row>
    <row r="3" spans="3:11" x14ac:dyDescent="0.25">
      <c r="G3" t="s">
        <v>28</v>
      </c>
      <c r="H3">
        <v>10101</v>
      </c>
      <c r="I3">
        <v>10201</v>
      </c>
      <c r="J3">
        <v>12101</v>
      </c>
      <c r="K3">
        <v>12201</v>
      </c>
    </row>
    <row r="4" spans="3:11" x14ac:dyDescent="0.25">
      <c r="G4" t="s">
        <v>29</v>
      </c>
      <c r="H4">
        <v>10141</v>
      </c>
      <c r="I4">
        <v>10242</v>
      </c>
      <c r="J4">
        <v>12135</v>
      </c>
      <c r="K4">
        <v>12220</v>
      </c>
    </row>
    <row r="5" spans="3:11" x14ac:dyDescent="0.25">
      <c r="C5" t="s">
        <v>25</v>
      </c>
      <c r="D5">
        <f>SUM(H2:K2)</f>
        <v>138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Sheet1</vt:lpstr>
      <vt:lpstr>Sheet2</vt:lpstr>
      <vt:lpstr>Sheet3</vt:lpstr>
      <vt:lpstr>Sheet4</vt:lpstr>
      <vt:lpstr>CentreNo</vt:lpstr>
      <vt:lpstr>ExamDate</vt:lpstr>
      <vt:lpstr>Heading</vt:lpstr>
      <vt:lpstr>SubjectNameCode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Anusha;Janendra</dc:creator>
  <cp:lastModifiedBy>acer</cp:lastModifiedBy>
  <cp:lastPrinted>2021-10-22T04:39:15Z</cp:lastPrinted>
  <dcterms:created xsi:type="dcterms:W3CDTF">2021-04-03T17:20:17Z</dcterms:created>
  <dcterms:modified xsi:type="dcterms:W3CDTF">2021-11-23T10:55:29Z</dcterms:modified>
</cp:coreProperties>
</file>