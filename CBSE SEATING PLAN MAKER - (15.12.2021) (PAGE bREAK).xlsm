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r\Downloads\CBSE\15.12.2021\"/>
    </mc:Choice>
  </mc:AlternateContent>
  <xr:revisionPtr revIDLastSave="0" documentId="13_ncr:1_{D7E77A73-B5D2-448E-A9B4-E33EBF1F91F1}" xr6:coauthVersionLast="36" xr6:coauthVersionMax="36" xr10:uidLastSave="{00000000-0000-0000-0000-000000000000}"/>
  <bookViews>
    <workbookView xWindow="-120" yWindow="-120" windowWidth="20736" windowHeight="11316" activeTab="6" xr2:uid="{00000000-000D-0000-FFFF-FFFF00000000}"/>
  </bookViews>
  <sheets>
    <sheet name="Sheet1" sheetId="1" r:id="rId1"/>
    <sheet name="Sheet2" sheetId="2" r:id="rId2"/>
    <sheet name="Sheet3" sheetId="3" r:id="rId3"/>
    <sheet name="Sheet5" sheetId="6" r:id="rId4"/>
    <sheet name="Sheet4" sheetId="5" r:id="rId5"/>
    <sheet name="Sheet6" sheetId="7" r:id="rId6"/>
    <sheet name="Sheet7" sheetId="8" r:id="rId7"/>
    <sheet name="Sheet8" sheetId="9" r:id="rId8"/>
  </sheets>
  <definedNames>
    <definedName name="CentreNo">Sheet1!$D$15</definedName>
    <definedName name="ExamDate">Sheet1!$D$16</definedName>
    <definedName name="Heading">Sheet1!$D$14</definedName>
    <definedName name="SubjectNameCode">Sheet1!$D$17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5" l="1"/>
  <c r="B5" i="5"/>
  <c r="B4" i="5"/>
  <c r="D3" i="7" l="1"/>
  <c r="D4" i="7"/>
  <c r="D5" i="7"/>
  <c r="D6" i="7"/>
  <c r="D7" i="7"/>
  <c r="D8" i="7"/>
  <c r="D9" i="7"/>
  <c r="D10" i="7"/>
  <c r="D11" i="7"/>
  <c r="D12" i="7"/>
  <c r="D13" i="7"/>
  <c r="D14" i="7"/>
  <c r="D15" i="7"/>
  <c r="D16" i="7"/>
  <c r="H2" i="1" l="1"/>
  <c r="A2" i="1" l="1"/>
  <c r="F6" i="1" s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D7" i="1" l="1"/>
  <c r="D5" i="1" l="1"/>
  <c r="D8" i="1" l="1"/>
  <c r="D10" i="1" s="1"/>
  <c r="D6" i="1"/>
  <c r="D9" i="1" l="1"/>
  <c r="F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Anusha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Anusha:</t>
        </r>
        <r>
          <rPr>
            <sz val="9"/>
            <color indexed="81"/>
            <rFont val="Tahoma"/>
            <family val="2"/>
          </rPr>
          <t xml:space="preserve">
Insert names according to their physical proximity or floor wise
</t>
        </r>
      </text>
    </comment>
    <comment ref="E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Anusha:</t>
        </r>
        <r>
          <rPr>
            <sz val="9"/>
            <color indexed="81"/>
            <rFont val="Tahoma"/>
            <family val="2"/>
          </rPr>
          <t xml:space="preserve">
Keep it zero if you do not want to limit. This value shoud be lesst than Total Capacity Students per class</t>
        </r>
      </text>
    </comment>
    <comment ref="F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Anusha:</t>
        </r>
        <r>
          <rPr>
            <sz val="9"/>
            <color indexed="81"/>
            <rFont val="Tahoma"/>
            <family val="2"/>
          </rPr>
          <t xml:space="preserve">
Default Value is zero. Input a whole number</t>
        </r>
      </text>
    </comment>
  </commentList>
</comments>
</file>

<file path=xl/sharedStrings.xml><?xml version="1.0" encoding="utf-8"?>
<sst xmlns="http://schemas.openxmlformats.org/spreadsheetml/2006/main" count="193" uniqueCount="139">
  <si>
    <t>Available Rooms</t>
  </si>
  <si>
    <t>er</t>
  </si>
  <si>
    <t>df</t>
  </si>
  <si>
    <t>sd</t>
  </si>
  <si>
    <t>hjh</t>
  </si>
  <si>
    <t>gf</t>
  </si>
  <si>
    <t>Janendra</t>
  </si>
  <si>
    <t>Ollo</t>
  </si>
  <si>
    <t>Mera naam joker</t>
  </si>
  <si>
    <t>kdjf</t>
  </si>
  <si>
    <t>Rows</t>
  </si>
  <si>
    <t>Column</t>
  </si>
  <si>
    <t>Exams taking classes</t>
  </si>
  <si>
    <t>Class room status</t>
  </si>
  <si>
    <t>School Name</t>
  </si>
  <si>
    <t>EXAM NAME</t>
  </si>
  <si>
    <t>First Roll No</t>
  </si>
  <si>
    <t>Total Students Taking exams</t>
  </si>
  <si>
    <t>Total Capacity Students per class</t>
  </si>
  <si>
    <t>Limit Students per class</t>
  </si>
  <si>
    <t>If there is any Limit then</t>
  </si>
  <si>
    <t>Total Students Per class</t>
  </si>
  <si>
    <t>No. of Rooms Required</t>
  </si>
  <si>
    <t>Total Available SEATING Capacity</t>
  </si>
  <si>
    <t>Total Limited SEATING Capacity</t>
  </si>
  <si>
    <t>EXAM DATE</t>
  </si>
  <si>
    <t>SUBJECT NAME &amp; CODE</t>
  </si>
  <si>
    <t>NAME LIST</t>
  </si>
  <si>
    <t>HEADING</t>
  </si>
  <si>
    <t>SEATING PLAN FOR CBSE EXAM - 2021</t>
  </si>
  <si>
    <t>CENTRE NO.</t>
  </si>
  <si>
    <t>822018 - KENDRIYA VIDYALAYA MIRC AHMEDNAGAR MR</t>
  </si>
  <si>
    <t>CENTRE NAME</t>
  </si>
  <si>
    <t>SUBJECT</t>
  </si>
  <si>
    <t>DATE</t>
  </si>
  <si>
    <t>Roll No</t>
  </si>
  <si>
    <t>QP. Code</t>
  </si>
  <si>
    <t>Total No. Students</t>
  </si>
  <si>
    <t>Present</t>
  </si>
  <si>
    <t>Absent</t>
  </si>
  <si>
    <t>Signature of Centre Superintendent (TeachID: 1705824)</t>
  </si>
  <si>
    <t>Name, TeachID &amp; Signature of _x000D_
Asstt. Superintendent</t>
  </si>
  <si>
    <t>Signature of Observer (TeachID: 1510085)</t>
  </si>
  <si>
    <t>ROOM NO.</t>
  </si>
  <si>
    <t>FROM</t>
  </si>
  <si>
    <t>TO</t>
  </si>
  <si>
    <t>12A</t>
  </si>
  <si>
    <t>11A</t>
  </si>
  <si>
    <t>10B</t>
  </si>
  <si>
    <t>10A</t>
  </si>
  <si>
    <t>9B</t>
  </si>
  <si>
    <t>9A</t>
  </si>
  <si>
    <t>ROOM 01</t>
  </si>
  <si>
    <t>ROOM 02</t>
  </si>
  <si>
    <t>GROUND FLOOR</t>
  </si>
  <si>
    <t>FIRST FLOOR</t>
  </si>
  <si>
    <t>ROOM 03</t>
  </si>
  <si>
    <t>ROOM 04</t>
  </si>
  <si>
    <t>ROOM 05</t>
  </si>
  <si>
    <t>ROOM 06</t>
  </si>
  <si>
    <t>ROOM 07</t>
  </si>
  <si>
    <t>ROOM 08</t>
  </si>
  <si>
    <t>ROOM 09</t>
  </si>
  <si>
    <t>ROOM 10</t>
  </si>
  <si>
    <t>ROOM 11</t>
  </si>
  <si>
    <t>ROOM 12</t>
  </si>
  <si>
    <t>ROOM 13</t>
  </si>
  <si>
    <t>Column1</t>
  </si>
  <si>
    <t>Column2</t>
  </si>
  <si>
    <t>Column3</t>
  </si>
  <si>
    <t>11B</t>
  </si>
  <si>
    <t>12B</t>
  </si>
  <si>
    <t>ROOM 14</t>
  </si>
  <si>
    <t>ROOM NAME</t>
  </si>
  <si>
    <t>Senior Secondary School Examination (Class XII)</t>
  </si>
  <si>
    <t>TeachID</t>
  </si>
  <si>
    <t>TEACHER NAME</t>
  </si>
  <si>
    <t>ROLES</t>
  </si>
  <si>
    <t>BEFORE EXAM</t>
  </si>
  <si>
    <t>AFTER EXAM</t>
  </si>
  <si>
    <t>PRAVEEN KUMAR</t>
  </si>
  <si>
    <t>CENTER SUPERINTENDENT</t>
  </si>
  <si>
    <t>PARSHURAM WANGDARE</t>
  </si>
  <si>
    <t>DEPUTY CENTER SUPERINTENDENT</t>
  </si>
  <si>
    <t>POOJA SUBHASH AMBEKAR</t>
  </si>
  <si>
    <t>INVIGILATOR ROOM 01</t>
  </si>
  <si>
    <t>ANUSHA KUMARI</t>
  </si>
  <si>
    <t>INVIGILATOR ROOM 02</t>
  </si>
  <si>
    <t>SHAIKH FARHIN MUSHTAQUE</t>
  </si>
  <si>
    <t>INVIGILATOR ROOM 03</t>
  </si>
  <si>
    <t>GATE DUTY 03</t>
  </si>
  <si>
    <t>SEEMA DUDHALE</t>
  </si>
  <si>
    <t>DHANSHRI MULAY</t>
  </si>
  <si>
    <t>MRS. MANISHA SABLE</t>
  </si>
  <si>
    <t>GANESH GORAKH SHINDE</t>
  </si>
  <si>
    <t>JANENDRA KUMAR YADAV</t>
  </si>
  <si>
    <t>IT PERSON</t>
  </si>
  <si>
    <t>MS. ASMITA DIVATE</t>
  </si>
  <si>
    <t>OBSERVER</t>
  </si>
  <si>
    <t>MR. BHAGWAN SOMA PADAVALE</t>
  </si>
  <si>
    <t>SUPPORT STAFF</t>
  </si>
  <si>
    <t>MRS. GEETANJALI VAIDYA</t>
  </si>
  <si>
    <t>AVINASH INGLE</t>
  </si>
  <si>
    <t>SHAIKH MAHMAD MUJAHED SHIAKH AHMED</t>
  </si>
  <si>
    <t>COORDINATOR 01</t>
  </si>
  <si>
    <t>ANGAD DHULGANDE</t>
  </si>
  <si>
    <t>EVALUATOR 01</t>
  </si>
  <si>
    <t>SURESH SHIRSATH</t>
  </si>
  <si>
    <t>MS.DOLLY KUMARI</t>
  </si>
  <si>
    <t>VISHAL GAWALI</t>
  </si>
  <si>
    <t>SUVARNA BHAGYAWANT SHINDE</t>
  </si>
  <si>
    <t>MRS SHAILAJA GANDHALE TGT </t>
  </si>
  <si>
    <t>MS SANDHYA TRYAMBAKE</t>
  </si>
  <si>
    <t>MRS NEETA OBEROI </t>
  </si>
  <si>
    <t>DAVID SHRIDHAR INGALE</t>
  </si>
  <si>
    <t>VASUDHA DAMLE</t>
  </si>
  <si>
    <t>VIRENDRA PATIL</t>
  </si>
  <si>
    <t>KIRAN KHOSE</t>
  </si>
  <si>
    <t>SARITA</t>
  </si>
  <si>
    <t>SEEMA ASHOK DHONGADE</t>
  </si>
  <si>
    <t>AKSHAY KUMAR</t>
  </si>
  <si>
    <t xml:space="preserve">MRS. DIPALI PARDESHI </t>
  </si>
  <si>
    <t>ARPA CHANDEKAR</t>
  </si>
  <si>
    <t>SHIRISHKUMAR S DHUMALE</t>
  </si>
  <si>
    <t>GATE DUTY 01</t>
  </si>
  <si>
    <t>DR ASHWINI GHOGARE</t>
  </si>
  <si>
    <t xml:space="preserve">GATE DUTY 02 </t>
  </si>
  <si>
    <t>KAVITA PARDESHI</t>
  </si>
  <si>
    <t>NALINI SHIRKE</t>
  </si>
  <si>
    <t>MADHURI ARUN UPADHYE</t>
  </si>
  <si>
    <t>MRS ZAINAB NAGARWALLA</t>
  </si>
  <si>
    <t>ROOM 03 - 10B - GROUND FLOOR</t>
  </si>
  <si>
    <t>ROOM 04 - 10A - GROUND FLOOR</t>
  </si>
  <si>
    <t>ROOM 01 - 11A - GROUND FLOOR</t>
  </si>
  <si>
    <t>ROOM 02 - 12A - GROUND FLOOR</t>
  </si>
  <si>
    <t xml:space="preserve">ROOM PLAN </t>
  </si>
  <si>
    <t>EVALUATOR 02</t>
  </si>
  <si>
    <t>15.12.2021</t>
  </si>
  <si>
    <t>030 - ECONOMICS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</si>
</sst>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409]d\-mmm\-yy;@"/>
  </numFmts>
  <fonts count="3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Times New Roman"/>
      <family val="1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Arial"/>
      <family val="2"/>
    </font>
    <font>
      <sz val="16"/>
      <color theme="1"/>
      <name val="Times New Roman"/>
      <family val="1"/>
    </font>
    <font>
      <b/>
      <sz val="18"/>
      <color theme="1"/>
      <name val="Times New Roman"/>
      <family val="1"/>
    </font>
    <font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8"/>
      <color theme="1"/>
      <name val="Times New Roman"/>
      <family val="1"/>
    </font>
    <font>
      <sz val="14"/>
      <color rgb="FF000000"/>
      <name val="Times New Roman"/>
      <family val="1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48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6"/>
      <color rgb="FF000000"/>
      <name val="Times New Roman"/>
      <family val="1"/>
    </font>
    <font>
      <b/>
      <sz val="16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72"/>
      <color theme="1"/>
      <name val="Times New Roman"/>
      <family val="1"/>
    </font>
    <font>
      <b/>
      <sz val="65"/>
      <color theme="1"/>
      <name val="Times New Roman"/>
      <family val="1"/>
    </font>
    <font>
      <b/>
      <sz val="20"/>
      <color theme="1"/>
      <name val="Times New Roman"/>
      <family val="1"/>
    </font>
    <font>
      <b/>
      <sz val="36"/>
      <color theme="1"/>
      <name val="Times New Roman"/>
      <family val="1"/>
    </font>
    <font>
      <sz val="36"/>
      <color theme="1"/>
      <name val="Calibri"/>
      <family val="2"/>
      <scheme val="minor"/>
    </font>
    <font>
      <b/>
      <sz val="80"/>
      <color theme="1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rgb="FFFE8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DEBF7"/>
        <bgColor rgb="FFDDEBF7"/>
      </patternFill>
    </fill>
    <fill>
      <patternFill patternType="solid">
        <fgColor rgb="FFD9E1F2"/>
        <bgColor rgb="FFD9E1F2"/>
      </patternFill>
    </fill>
    <fill>
      <patternFill patternType="solid">
        <fgColor rgb="FFFFFFFF"/>
        <bgColor rgb="FF000000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4" tint="-0.249977111117893"/>
      </right>
      <top/>
      <bottom/>
      <diagonal/>
    </border>
    <border>
      <left/>
      <right/>
      <top/>
      <bottom style="thin">
        <color theme="4" tint="-0.249977111117893"/>
      </bottom>
      <diagonal/>
    </border>
    <border>
      <left/>
      <right style="medium">
        <color theme="4" tint="-0.249977111117893"/>
      </right>
      <top style="medium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249977111117893"/>
      </right>
      <top/>
      <bottom style="thin">
        <color theme="4" tint="-0.249977111117893"/>
      </bottom>
      <diagonal/>
    </border>
    <border>
      <left/>
      <right style="medium">
        <color theme="4" tint="-0.249977111117893"/>
      </right>
      <top/>
      <bottom/>
      <diagonal/>
    </border>
    <border>
      <left/>
      <right style="medium">
        <color theme="4" tint="-0.249977111117893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theme="4" tint="-0.249977111117893"/>
      </top>
      <bottom style="thin">
        <color theme="4" tint="-0.249977111117893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 style="thin">
        <color rgb="FF000000"/>
      </left>
      <right/>
      <top style="thin">
        <color rgb="FF8EA9DB"/>
      </top>
      <bottom/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2" borderId="0" xfId="0" applyFill="1"/>
    <xf numFmtId="0" fontId="0" fillId="3" borderId="0" xfId="0" applyFill="1"/>
    <xf numFmtId="22" fontId="0" fillId="3" borderId="0" xfId="0" applyNumberFormat="1" applyFill="1"/>
    <xf numFmtId="22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0" xfId="0" applyFont="1" applyBorder="1"/>
    <xf numFmtId="0" fontId="0" fillId="0" borderId="0" xfId="0" applyAlignment="1">
      <alignment wrapText="1"/>
    </xf>
    <xf numFmtId="0" fontId="0" fillId="0" borderId="3" xfId="0" applyBorder="1"/>
    <xf numFmtId="0" fontId="0" fillId="0" borderId="0" xfId="0" applyBorder="1"/>
    <xf numFmtId="0" fontId="0" fillId="4" borderId="10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1" fillId="4" borderId="1" xfId="0" applyFont="1" applyFill="1" applyBorder="1" applyProtection="1">
      <protection locked="0"/>
    </xf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 applyAlignment="1">
      <alignment wrapText="1"/>
    </xf>
    <xf numFmtId="0" fontId="0" fillId="4" borderId="12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0" fillId="5" borderId="16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 wrapText="1"/>
    </xf>
    <xf numFmtId="0" fontId="0" fillId="4" borderId="16" xfId="0" applyFill="1" applyBorder="1" applyProtection="1">
      <protection locked="0"/>
    </xf>
    <xf numFmtId="0" fontId="1" fillId="0" borderId="11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5" borderId="16" xfId="0" applyFont="1" applyFill="1" applyBorder="1" applyAlignment="1">
      <alignment vertical="center" wrapText="1"/>
    </xf>
    <xf numFmtId="0" fontId="1" fillId="7" borderId="16" xfId="0" applyFont="1" applyFill="1" applyBorder="1" applyAlignment="1">
      <alignment wrapText="1"/>
    </xf>
    <xf numFmtId="0" fontId="1" fillId="6" borderId="13" xfId="0" applyFont="1" applyFill="1" applyBorder="1" applyAlignment="1">
      <alignment wrapText="1"/>
    </xf>
    <xf numFmtId="0" fontId="1" fillId="6" borderId="4" xfId="0" applyFont="1" applyFill="1" applyBorder="1" applyAlignment="1">
      <alignment wrapText="1"/>
    </xf>
    <xf numFmtId="0" fontId="1" fillId="6" borderId="0" xfId="0" applyFont="1" applyFill="1" applyBorder="1"/>
    <xf numFmtId="0" fontId="1" fillId="6" borderId="4" xfId="0" applyFont="1" applyFill="1" applyBorder="1"/>
    <xf numFmtId="0" fontId="1" fillId="6" borderId="9" xfId="0" applyFont="1" applyFill="1" applyBorder="1" applyAlignment="1">
      <alignment wrapText="1"/>
    </xf>
    <xf numFmtId="0" fontId="0" fillId="4" borderId="17" xfId="0" applyFill="1" applyBorder="1" applyProtection="1">
      <protection locked="0"/>
    </xf>
    <xf numFmtId="0" fontId="4" fillId="4" borderId="1" xfId="0" applyFont="1" applyFill="1" applyBorder="1" applyAlignment="1" applyProtection="1">
      <alignment wrapText="1"/>
      <protection locked="0"/>
    </xf>
    <xf numFmtId="0" fontId="0" fillId="4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6" fillId="0" borderId="0" xfId="0" applyFont="1" applyBorder="1" applyAlignment="1">
      <alignment vertical="center"/>
    </xf>
    <xf numFmtId="0" fontId="6" fillId="0" borderId="0" xfId="0" applyFont="1" applyBorder="1" applyAlignment="1">
      <alignment vertical="center" wrapText="1"/>
    </xf>
    <xf numFmtId="14" fontId="6" fillId="0" borderId="0" xfId="0" applyNumberFormat="1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164" fontId="10" fillId="0" borderId="0" xfId="0" applyNumberFormat="1" applyFont="1" applyBorder="1" applyAlignment="1">
      <alignment vertical="center"/>
    </xf>
    <xf numFmtId="15" fontId="10" fillId="0" borderId="0" xfId="0" applyNumberFormat="1" applyFont="1" applyBorder="1" applyAlignment="1">
      <alignment vertical="center"/>
    </xf>
    <xf numFmtId="0" fontId="9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11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6" fillId="0" borderId="1" xfId="0" applyFont="1" applyBorder="1" applyAlignment="1"/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horizontal="right" vertical="center"/>
    </xf>
    <xf numFmtId="0" fontId="12" fillId="0" borderId="0" xfId="0" applyFont="1" applyBorder="1"/>
    <xf numFmtId="1" fontId="12" fillId="0" borderId="0" xfId="0" applyNumberFormat="1" applyFont="1" applyBorder="1"/>
    <xf numFmtId="0" fontId="12" fillId="0" borderId="0" xfId="0" applyFont="1" applyBorder="1" applyAlignment="1">
      <alignment horizontal="center"/>
    </xf>
    <xf numFmtId="1" fontId="12" fillId="0" borderId="0" xfId="0" applyNumberFormat="1" applyFont="1" applyBorder="1" applyAlignment="1">
      <alignment horizontal="center"/>
    </xf>
    <xf numFmtId="1" fontId="0" fillId="0" borderId="0" xfId="0" applyNumberFormat="1" applyBorder="1"/>
    <xf numFmtId="0" fontId="14" fillId="0" borderId="0" xfId="0" applyFont="1" applyBorder="1" applyAlignment="1">
      <alignment vertical="center"/>
    </xf>
    <xf numFmtId="0" fontId="15" fillId="0" borderId="0" xfId="0" applyFont="1" applyBorder="1" applyAlignment="1">
      <alignment vertical="center"/>
    </xf>
    <xf numFmtId="0" fontId="16" fillId="8" borderId="18" xfId="0" applyFont="1" applyFill="1" applyBorder="1" applyAlignment="1">
      <alignment vertical="center"/>
    </xf>
    <xf numFmtId="0" fontId="16" fillId="9" borderId="18" xfId="0" applyFont="1" applyFill="1" applyBorder="1" applyAlignment="1">
      <alignment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/>
    </xf>
    <xf numFmtId="0" fontId="17" fillId="0" borderId="1" xfId="0" applyFont="1" applyBorder="1" applyAlignment="1">
      <alignment horizontal="left" vertical="center" wrapText="1"/>
    </xf>
    <xf numFmtId="0" fontId="6" fillId="0" borderId="0" xfId="0" applyFont="1" applyBorder="1" applyAlignment="1"/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9" fillId="0" borderId="0" xfId="0" applyFont="1" applyBorder="1" applyAlignment="1">
      <alignment vertical="center"/>
    </xf>
    <xf numFmtId="0" fontId="15" fillId="0" borderId="0" xfId="0" applyFont="1" applyBorder="1" applyAlignment="1">
      <alignment horizontal="left" vertical="center"/>
    </xf>
    <xf numFmtId="0" fontId="22" fillId="10" borderId="0" xfId="0" applyFont="1" applyFill="1" applyAlignment="1">
      <alignment horizontal="center" wrapText="1"/>
    </xf>
    <xf numFmtId="0" fontId="23" fillId="10" borderId="0" xfId="0" applyFont="1" applyFill="1"/>
    <xf numFmtId="0" fontId="16" fillId="8" borderId="0" xfId="0" applyFont="1" applyFill="1" applyAlignment="1">
      <alignment vertical="center"/>
    </xf>
    <xf numFmtId="0" fontId="21" fillId="9" borderId="0" xfId="0" applyFont="1" applyFill="1"/>
    <xf numFmtId="0" fontId="21" fillId="0" borderId="0" xfId="0" applyFont="1"/>
    <xf numFmtId="0" fontId="16" fillId="0" borderId="0" xfId="0" applyFont="1" applyAlignment="1">
      <alignment vertical="center"/>
    </xf>
    <xf numFmtId="0" fontId="16" fillId="9" borderId="0" xfId="0" applyFont="1" applyFill="1" applyAlignment="1">
      <alignment vertical="center"/>
    </xf>
    <xf numFmtId="0" fontId="16" fillId="8" borderId="19" xfId="0" applyFont="1" applyFill="1" applyBorder="1" applyAlignment="1">
      <alignment vertical="center"/>
    </xf>
    <xf numFmtId="14" fontId="9" fillId="0" borderId="0" xfId="0" applyNumberFormat="1" applyFont="1" applyBorder="1" applyAlignment="1">
      <alignment horizontal="center" vertical="center"/>
    </xf>
    <xf numFmtId="0" fontId="24" fillId="0" borderId="1" xfId="0" applyFont="1" applyBorder="1" applyAlignment="1">
      <alignment horizontal="left" vertical="center" wrapText="1"/>
    </xf>
    <xf numFmtId="1" fontId="24" fillId="0" borderId="1" xfId="0" applyNumberFormat="1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left" vertical="center" wrapText="1"/>
    </xf>
    <xf numFmtId="1" fontId="26" fillId="0" borderId="1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15" fontId="27" fillId="0" borderId="0" xfId="0" applyNumberFormat="1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15" fontId="29" fillId="0" borderId="0" xfId="0" applyNumberFormat="1" applyFont="1" applyBorder="1" applyAlignment="1">
      <alignment vertical="center"/>
    </xf>
    <xf numFmtId="0" fontId="4" fillId="4" borderId="0" xfId="0" applyFont="1" applyFill="1" applyBorder="1" applyAlignment="1" applyProtection="1">
      <alignment wrapText="1"/>
      <protection locked="0"/>
    </xf>
    <xf numFmtId="0" fontId="12" fillId="0" borderId="1" xfId="0" applyFont="1" applyBorder="1" applyAlignment="1">
      <alignment horizontal="center" wrapText="1"/>
    </xf>
    <xf numFmtId="1" fontId="12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left" vertical="center" wrapText="1"/>
    </xf>
    <xf numFmtId="0" fontId="4" fillId="0" borderId="0" xfId="0" applyFont="1" applyFill="1" applyBorder="1" applyAlignment="1" applyProtection="1">
      <alignment wrapText="1"/>
      <protection locked="0"/>
    </xf>
    <xf numFmtId="0" fontId="0" fillId="0" borderId="0" xfId="0" applyFill="1" applyBorder="1"/>
    <xf numFmtId="0" fontId="16" fillId="8" borderId="0" xfId="0" applyFont="1" applyFill="1" applyBorder="1" applyAlignment="1">
      <alignment vertical="center"/>
    </xf>
    <xf numFmtId="0" fontId="32" fillId="0" borderId="1" xfId="0" applyFont="1" applyBorder="1" applyAlignment="1">
      <alignment horizontal="center" vertical="center"/>
    </xf>
    <xf numFmtId="0" fontId="30" fillId="0" borderId="0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center" vertical="center"/>
    </xf>
    <xf numFmtId="0" fontId="2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fill>
        <patternFill patternType="solid">
          <fgColor rgb="FFDDEBF7"/>
          <bgColor rgb="FFDDEBF7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Times New Roman"/>
        <family val="1"/>
        <scheme val="none"/>
      </font>
      <fill>
        <patternFill patternType="solid">
          <fgColor rgb="FF000000"/>
          <bgColor rgb="FFFFFFFF"/>
        </patternFill>
      </fill>
      <alignment horizontal="center" vertical="bottom" textRotation="0" wrapText="1" indent="0" justifyLastLine="0" shrinkToFit="0" readingOrder="0"/>
    </dxf>
    <dxf>
      <numFmt numFmtId="0" formatCode="General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447675</xdr:colOff>
      <xdr:row>12</xdr:row>
      <xdr:rowOff>104775</xdr:rowOff>
    </xdr:from>
    <xdr:ext cx="2405082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638925" y="3571875"/>
          <a:ext cx="2405082" cy="26456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100"/>
            <a:t>ENTER VALUES IN</a:t>
          </a:r>
          <a:r>
            <a:rPr lang="en-IN" sz="1100" baseline="0"/>
            <a:t> YELLOW CELLS ONLY</a:t>
          </a:r>
          <a:endParaRPr lang="en-IN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518160</xdr:colOff>
          <xdr:row>8</xdr:row>
          <xdr:rowOff>274320</xdr:rowOff>
        </xdr:from>
        <xdr:to>
          <xdr:col>11</xdr:col>
          <xdr:colOff>594360</xdr:colOff>
          <xdr:row>9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Seating Arrangement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4686E9-EF52-47C4-8B5F-A31DDEC8470B}" name="Table1" displayName="Table1" ref="A2:D16" totalsRowShown="0">
  <autoFilter ref="A2:D16" xr:uid="{E0E4685E-A94B-4D9F-8F1B-908397C596C5}"/>
  <sortState ref="A3:C16">
    <sortCondition ref="A2:A16"/>
  </sortState>
  <tableColumns count="4">
    <tableColumn id="1" xr3:uid="{8C71276B-A7F9-43BD-8F4B-5DFFFA886C58}" name="Column1"/>
    <tableColumn id="2" xr3:uid="{5E88531D-E09B-48FE-A1A1-438BD134F666}" name="Column2"/>
    <tableColumn id="3" xr3:uid="{1E7F82F4-1BF1-4D06-B15F-2118478C18FA}" name="Column3"/>
    <tableColumn id="4" xr3:uid="{16424228-251C-49D1-963F-66E5CC98D072}" name="ROOM NAME" dataDxfId="6">
      <calculatedColumnFormula>CONCATENATE(Table1[[#This Row],[Column1]]," - ",Table1[[#This Row],[Column2]]," - ",Table1[[#This Row],[Column3]])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FCED5B-0A4C-42C2-A150-E86FC643035D}" name="Table2" displayName="Table2" ref="A1:E39" totalsRowShown="0" headerRowDxfId="5" dataDxfId="4">
  <autoFilter ref="A1:E39" xr:uid="{51E7D309-DD49-4897-B00C-AE377D516939}"/>
  <sortState ref="A2:E39">
    <sortCondition ref="C1:C39"/>
  </sortState>
  <tableColumns count="5">
    <tableColumn id="1" xr3:uid="{357A3A9E-2213-4E95-9A81-5184B3B03754}" name="TeachID"/>
    <tableColumn id="2" xr3:uid="{030F0D01-BBB1-4ED9-B5E8-23BF8E5439CC}" name="TEACHER NAME" dataDxfId="3"/>
    <tableColumn id="3" xr3:uid="{EF60F143-0426-41BA-ACE8-25A3BFBF6BF0}" name="ROLES" dataDxfId="2"/>
    <tableColumn id="4" xr3:uid="{0FE797A0-B845-4E9F-85AB-30B2CDA78A3B}" name="BEFORE EXAM" dataDxfId="1"/>
    <tableColumn id="5" xr3:uid="{B969650B-BCE8-4C3E-987B-318FCC97BB59}" name="AFTER EXAM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85"/>
  <sheetViews>
    <sheetView workbookViewId="0">
      <selection activeCell="H3" sqref="H3:H24"/>
    </sheetView>
  </sheetViews>
  <sheetFormatPr defaultRowHeight="14.4" x14ac:dyDescent="0.3"/>
  <cols>
    <col min="1" max="1" width="15.88671875" bestFit="1" customWidth="1"/>
    <col min="3" max="3" width="23.5546875" style="8" customWidth="1"/>
    <col min="4" max="4" width="16.88671875" customWidth="1"/>
    <col min="5" max="5" width="18" customWidth="1"/>
    <col min="8" max="8" width="9.109375" style="33"/>
  </cols>
  <sheetData>
    <row r="1" spans="1:37" s="5" customFormat="1" ht="15" thickBot="1" x14ac:dyDescent="0.35">
      <c r="A1" s="6" t="s">
        <v>0</v>
      </c>
      <c r="B1"/>
      <c r="C1" s="8"/>
      <c r="D1"/>
      <c r="E1"/>
      <c r="F1"/>
      <c r="G1"/>
      <c r="H1" s="13" t="s">
        <v>27</v>
      </c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</row>
    <row r="2" spans="1:37" s="7" customFormat="1" ht="15" thickBot="1" x14ac:dyDescent="0.35">
      <c r="A2" s="7">
        <f>COUNTA(A3:A60)</f>
        <v>4</v>
      </c>
      <c r="B2"/>
      <c r="C2" s="8"/>
      <c r="D2"/>
      <c r="E2"/>
      <c r="F2"/>
      <c r="G2" t="s">
        <v>21</v>
      </c>
      <c r="H2" s="7">
        <f>COUNTA(H3:H1048576)</f>
        <v>22</v>
      </c>
      <c r="I2" s="7" t="str">
        <f t="shared" ref="I2:AK2" si="0">IF(I3="","",I4-I3+1)</f>
        <v/>
      </c>
      <c r="J2" s="7" t="str">
        <f t="shared" si="0"/>
        <v/>
      </c>
      <c r="K2" s="7" t="str">
        <f t="shared" si="0"/>
        <v/>
      </c>
      <c r="L2" s="7" t="str">
        <f t="shared" si="0"/>
        <v/>
      </c>
      <c r="M2" s="7" t="str">
        <f t="shared" si="0"/>
        <v/>
      </c>
      <c r="N2" s="7" t="str">
        <f t="shared" si="0"/>
        <v/>
      </c>
      <c r="O2" s="7" t="str">
        <f t="shared" si="0"/>
        <v/>
      </c>
      <c r="P2" s="7" t="str">
        <f t="shared" si="0"/>
        <v/>
      </c>
      <c r="Q2" s="7" t="str">
        <f t="shared" si="0"/>
        <v/>
      </c>
      <c r="R2" s="7" t="str">
        <f t="shared" si="0"/>
        <v/>
      </c>
      <c r="S2" s="7" t="str">
        <f t="shared" si="0"/>
        <v/>
      </c>
      <c r="T2" s="7" t="str">
        <f t="shared" si="0"/>
        <v/>
      </c>
      <c r="U2" s="7" t="str">
        <f t="shared" si="0"/>
        <v/>
      </c>
      <c r="V2" s="7" t="str">
        <f t="shared" si="0"/>
        <v/>
      </c>
      <c r="W2" s="7" t="str">
        <f t="shared" si="0"/>
        <v/>
      </c>
      <c r="X2" s="7" t="str">
        <f t="shared" si="0"/>
        <v/>
      </c>
      <c r="Y2" s="7" t="str">
        <f t="shared" si="0"/>
        <v/>
      </c>
      <c r="Z2" s="7" t="str">
        <f t="shared" si="0"/>
        <v/>
      </c>
      <c r="AA2" s="7" t="str">
        <f t="shared" si="0"/>
        <v/>
      </c>
      <c r="AB2" s="7" t="str">
        <f t="shared" si="0"/>
        <v/>
      </c>
      <c r="AC2" s="7" t="str">
        <f t="shared" si="0"/>
        <v/>
      </c>
      <c r="AD2" s="7" t="str">
        <f t="shared" si="0"/>
        <v/>
      </c>
      <c r="AE2" s="7" t="str">
        <f t="shared" si="0"/>
        <v/>
      </c>
      <c r="AF2" s="7" t="str">
        <f t="shared" si="0"/>
        <v/>
      </c>
      <c r="AG2" s="7" t="str">
        <f t="shared" si="0"/>
        <v/>
      </c>
      <c r="AH2" s="7" t="str">
        <f t="shared" si="0"/>
        <v/>
      </c>
      <c r="AI2" s="7" t="str">
        <f t="shared" si="0"/>
        <v/>
      </c>
      <c r="AJ2" s="7" t="str">
        <f t="shared" si="0"/>
        <v/>
      </c>
      <c r="AK2" s="7" t="str">
        <f t="shared" si="0"/>
        <v/>
      </c>
    </row>
    <row r="3" spans="1:37" x14ac:dyDescent="0.3">
      <c r="A3" s="11" t="s">
        <v>133</v>
      </c>
      <c r="C3" s="22" t="s">
        <v>10</v>
      </c>
      <c r="D3" s="17">
        <v>4</v>
      </c>
      <c r="G3" t="s">
        <v>16</v>
      </c>
      <c r="H3" s="32">
        <v>15600774</v>
      </c>
      <c r="I3" s="3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1:37" ht="15" thickBot="1" x14ac:dyDescent="0.35">
      <c r="A4" s="11" t="s">
        <v>134</v>
      </c>
      <c r="C4" s="23" t="s">
        <v>11</v>
      </c>
      <c r="D4" s="18">
        <v>3</v>
      </c>
      <c r="E4" s="10"/>
      <c r="F4" s="10"/>
      <c r="H4" s="32">
        <v>15600775</v>
      </c>
      <c r="I4" s="3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1:37" ht="30" customHeight="1" x14ac:dyDescent="0.3">
      <c r="A5" s="11" t="s">
        <v>131</v>
      </c>
      <c r="C5" s="24" t="s">
        <v>18</v>
      </c>
      <c r="D5" s="19">
        <f>D3*D4</f>
        <v>12</v>
      </c>
      <c r="E5" s="26" t="s">
        <v>19</v>
      </c>
      <c r="F5" s="12">
        <v>11</v>
      </c>
      <c r="H5" s="32">
        <v>15600776</v>
      </c>
    </row>
    <row r="6" spans="1:37" ht="30" customHeight="1" x14ac:dyDescent="0.3">
      <c r="A6" s="11" t="s">
        <v>132</v>
      </c>
      <c r="C6" s="24" t="s">
        <v>23</v>
      </c>
      <c r="D6" s="19">
        <f>A2*D5</f>
        <v>48</v>
      </c>
      <c r="E6" s="27" t="s">
        <v>24</v>
      </c>
      <c r="F6" s="14">
        <f>F5*A2</f>
        <v>44</v>
      </c>
      <c r="H6" s="32">
        <v>15600777</v>
      </c>
    </row>
    <row r="7" spans="1:37" ht="30" customHeight="1" x14ac:dyDescent="0.3">
      <c r="A7" s="11"/>
      <c r="C7" s="24" t="s">
        <v>12</v>
      </c>
      <c r="D7" s="19">
        <f>COUNTA(H3:AK3)</f>
        <v>1</v>
      </c>
      <c r="E7" s="28"/>
      <c r="F7" s="15"/>
      <c r="H7" s="32">
        <v>15600778</v>
      </c>
    </row>
    <row r="8" spans="1:37" ht="30" customHeight="1" x14ac:dyDescent="0.3">
      <c r="A8" s="11"/>
      <c r="C8" s="24" t="s">
        <v>17</v>
      </c>
      <c r="D8" s="19">
        <f>SUM(H2:AK2)</f>
        <v>22</v>
      </c>
      <c r="E8" s="29"/>
      <c r="F8" s="14"/>
      <c r="H8" s="32">
        <v>15600779</v>
      </c>
    </row>
    <row r="9" spans="1:37" ht="30" customHeight="1" thickBot="1" x14ac:dyDescent="0.35">
      <c r="A9" s="11"/>
      <c r="C9" s="24" t="s">
        <v>13</v>
      </c>
      <c r="D9" s="20" t="str">
        <f>IF(D8/D5 &lt;A2,"Sufficient rooms available","Not Sufficient")</f>
        <v>Sufficient rooms available</v>
      </c>
      <c r="E9" s="30" t="s">
        <v>20</v>
      </c>
      <c r="F9" s="16" t="str">
        <f>IF(F5=0,"NO LIMIT per class",IF(F6&gt;=D8,"Sufficient rooms available","Not Sufficient"))</f>
        <v>Sufficient rooms available</v>
      </c>
      <c r="H9" s="32">
        <v>15600780</v>
      </c>
      <c r="J9" s="9"/>
    </row>
    <row r="10" spans="1:37" ht="30" customHeight="1" x14ac:dyDescent="0.3">
      <c r="A10" s="11"/>
      <c r="C10" s="24" t="s">
        <v>22</v>
      </c>
      <c r="D10" s="19">
        <f>IF(F5=0,ROUNDUP(D8/D5,0),ROUNDUP(D8/F5,0))</f>
        <v>2</v>
      </c>
      <c r="H10" s="32">
        <v>15600781</v>
      </c>
    </row>
    <row r="11" spans="1:37" x14ac:dyDescent="0.3">
      <c r="A11" s="11"/>
      <c r="H11" s="32">
        <v>15600782</v>
      </c>
    </row>
    <row r="12" spans="1:37" x14ac:dyDescent="0.3">
      <c r="A12" s="11"/>
      <c r="C12" s="25" t="s">
        <v>14</v>
      </c>
      <c r="D12" s="21" t="s">
        <v>31</v>
      </c>
      <c r="H12" s="32">
        <v>15600783</v>
      </c>
    </row>
    <row r="13" spans="1:37" x14ac:dyDescent="0.3">
      <c r="A13" s="11"/>
      <c r="C13" s="25" t="s">
        <v>15</v>
      </c>
      <c r="D13" s="21" t="s">
        <v>74</v>
      </c>
      <c r="H13" s="32">
        <v>15600784</v>
      </c>
    </row>
    <row r="14" spans="1:37" x14ac:dyDescent="0.3">
      <c r="A14" s="11"/>
      <c r="C14" s="25" t="s">
        <v>28</v>
      </c>
      <c r="D14" s="21" t="s">
        <v>29</v>
      </c>
      <c r="H14" s="32">
        <v>15600785</v>
      </c>
    </row>
    <row r="15" spans="1:37" x14ac:dyDescent="0.3">
      <c r="A15" s="11"/>
      <c r="C15" s="25" t="s">
        <v>30</v>
      </c>
      <c r="D15" s="21">
        <v>822018</v>
      </c>
      <c r="H15" s="32">
        <v>15600786</v>
      </c>
    </row>
    <row r="16" spans="1:37" x14ac:dyDescent="0.3">
      <c r="A16" s="11"/>
      <c r="C16" s="25" t="s">
        <v>25</v>
      </c>
      <c r="D16" s="34" t="s">
        <v>137</v>
      </c>
      <c r="H16" s="32">
        <v>15600787</v>
      </c>
    </row>
    <row r="17" spans="1:8" x14ac:dyDescent="0.3">
      <c r="A17" s="11"/>
      <c r="C17" s="25" t="s">
        <v>26</v>
      </c>
      <c r="D17" s="21" t="s">
        <v>138</v>
      </c>
      <c r="H17" s="32">
        <v>15600788</v>
      </c>
    </row>
    <row r="18" spans="1:8" x14ac:dyDescent="0.3">
      <c r="A18" s="11"/>
      <c r="H18" s="32">
        <v>15600789</v>
      </c>
    </row>
    <row r="19" spans="1:8" x14ac:dyDescent="0.3">
      <c r="A19" s="11"/>
      <c r="H19" s="32">
        <v>15600790</v>
      </c>
    </row>
    <row r="20" spans="1:8" x14ac:dyDescent="0.3">
      <c r="A20" s="11"/>
      <c r="H20" s="32">
        <v>15600791</v>
      </c>
    </row>
    <row r="21" spans="1:8" x14ac:dyDescent="0.3">
      <c r="A21" s="11"/>
      <c r="H21" s="32">
        <v>15600792</v>
      </c>
    </row>
    <row r="22" spans="1:8" x14ac:dyDescent="0.3">
      <c r="A22" s="11"/>
      <c r="H22" s="32">
        <v>15600793</v>
      </c>
    </row>
    <row r="23" spans="1:8" x14ac:dyDescent="0.3">
      <c r="A23" s="11"/>
      <c r="H23" s="32">
        <v>15600794</v>
      </c>
    </row>
    <row r="24" spans="1:8" x14ac:dyDescent="0.3">
      <c r="A24" s="11"/>
      <c r="H24" s="32">
        <v>15600795</v>
      </c>
    </row>
    <row r="25" spans="1:8" x14ac:dyDescent="0.3">
      <c r="A25" s="11"/>
      <c r="H25" s="32"/>
    </row>
    <row r="26" spans="1:8" x14ac:dyDescent="0.3">
      <c r="A26" s="11"/>
      <c r="H26" s="32"/>
    </row>
    <row r="27" spans="1:8" x14ac:dyDescent="0.3">
      <c r="A27" s="11"/>
      <c r="H27" s="32"/>
    </row>
    <row r="28" spans="1:8" x14ac:dyDescent="0.3">
      <c r="A28" s="11"/>
      <c r="H28" s="32"/>
    </row>
    <row r="29" spans="1:8" x14ac:dyDescent="0.3">
      <c r="A29" s="11"/>
      <c r="H29" s="32"/>
    </row>
    <row r="30" spans="1:8" x14ac:dyDescent="0.3">
      <c r="A30" s="11"/>
      <c r="H30" s="32"/>
    </row>
    <row r="31" spans="1:8" x14ac:dyDescent="0.3">
      <c r="A31" s="11"/>
      <c r="H31" s="32"/>
    </row>
    <row r="32" spans="1:8" x14ac:dyDescent="0.3">
      <c r="A32" s="11"/>
      <c r="H32" s="32"/>
    </row>
    <row r="33" spans="1:8" x14ac:dyDescent="0.3">
      <c r="A33" s="11"/>
      <c r="H33" s="32"/>
    </row>
    <row r="34" spans="1:8" x14ac:dyDescent="0.3">
      <c r="A34" s="11"/>
      <c r="H34" s="32"/>
    </row>
    <row r="35" spans="1:8" x14ac:dyDescent="0.3">
      <c r="A35" s="11"/>
      <c r="H35" s="32"/>
    </row>
    <row r="36" spans="1:8" x14ac:dyDescent="0.3">
      <c r="A36" s="11"/>
      <c r="H36" s="32"/>
    </row>
    <row r="37" spans="1:8" x14ac:dyDescent="0.3">
      <c r="A37" s="11"/>
      <c r="H37" s="32"/>
    </row>
    <row r="38" spans="1:8" x14ac:dyDescent="0.3">
      <c r="A38" s="11"/>
      <c r="H38" s="32"/>
    </row>
    <row r="39" spans="1:8" x14ac:dyDescent="0.3">
      <c r="A39" s="11"/>
      <c r="H39" s="32"/>
    </row>
    <row r="40" spans="1:8" x14ac:dyDescent="0.3">
      <c r="A40" s="11"/>
      <c r="H40" s="32"/>
    </row>
    <row r="41" spans="1:8" x14ac:dyDescent="0.3">
      <c r="A41" s="11"/>
      <c r="H41" s="32"/>
    </row>
    <row r="42" spans="1:8" x14ac:dyDescent="0.3">
      <c r="A42" s="11"/>
      <c r="H42" s="32"/>
    </row>
    <row r="43" spans="1:8" x14ac:dyDescent="0.3">
      <c r="A43" s="11"/>
      <c r="H43" s="32"/>
    </row>
    <row r="44" spans="1:8" x14ac:dyDescent="0.3">
      <c r="A44" s="11"/>
      <c r="H44" s="32"/>
    </row>
    <row r="45" spans="1:8" x14ac:dyDescent="0.3">
      <c r="A45" s="11"/>
      <c r="H45" s="32"/>
    </row>
    <row r="46" spans="1:8" x14ac:dyDescent="0.3">
      <c r="A46" s="11"/>
      <c r="H46" s="32"/>
    </row>
    <row r="47" spans="1:8" x14ac:dyDescent="0.3">
      <c r="A47" s="11"/>
      <c r="H47" s="32"/>
    </row>
    <row r="48" spans="1:8" x14ac:dyDescent="0.3">
      <c r="A48" s="11"/>
      <c r="H48" s="32"/>
    </row>
    <row r="49" spans="1:8" x14ac:dyDescent="0.3">
      <c r="A49" s="11"/>
      <c r="H49" s="32"/>
    </row>
    <row r="50" spans="1:8" x14ac:dyDescent="0.3">
      <c r="A50" s="11"/>
      <c r="H50" s="32"/>
    </row>
    <row r="51" spans="1:8" x14ac:dyDescent="0.3">
      <c r="A51" s="11"/>
      <c r="H51" s="32"/>
    </row>
    <row r="52" spans="1:8" x14ac:dyDescent="0.3">
      <c r="A52" s="11"/>
      <c r="H52" s="32"/>
    </row>
    <row r="53" spans="1:8" x14ac:dyDescent="0.3">
      <c r="A53" s="11"/>
      <c r="H53" s="32"/>
    </row>
    <row r="54" spans="1:8" x14ac:dyDescent="0.3">
      <c r="A54" s="11"/>
      <c r="H54" s="32"/>
    </row>
    <row r="55" spans="1:8" x14ac:dyDescent="0.3">
      <c r="A55" s="11"/>
      <c r="H55" s="32"/>
    </row>
    <row r="56" spans="1:8" x14ac:dyDescent="0.3">
      <c r="A56" s="11"/>
      <c r="H56" s="32"/>
    </row>
    <row r="57" spans="1:8" x14ac:dyDescent="0.3">
      <c r="A57" s="11"/>
      <c r="H57" s="32"/>
    </row>
    <row r="58" spans="1:8" x14ac:dyDescent="0.3">
      <c r="A58" s="11"/>
      <c r="H58" s="32"/>
    </row>
    <row r="59" spans="1:8" x14ac:dyDescent="0.3">
      <c r="A59" s="11"/>
      <c r="H59" s="32"/>
    </row>
    <row r="60" spans="1:8" x14ac:dyDescent="0.3">
      <c r="A60" s="11"/>
      <c r="H60" s="32"/>
    </row>
    <row r="61" spans="1:8" x14ac:dyDescent="0.3">
      <c r="H61" s="32"/>
    </row>
    <row r="62" spans="1:8" x14ac:dyDescent="0.3">
      <c r="H62" s="32"/>
    </row>
    <row r="63" spans="1:8" x14ac:dyDescent="0.3">
      <c r="H63" s="32"/>
    </row>
    <row r="64" spans="1:8" x14ac:dyDescent="0.3">
      <c r="H64" s="32"/>
    </row>
    <row r="65" spans="8:8" x14ac:dyDescent="0.3">
      <c r="H65" s="32"/>
    </row>
    <row r="66" spans="8:8" x14ac:dyDescent="0.3">
      <c r="H66" s="32"/>
    </row>
    <row r="67" spans="8:8" x14ac:dyDescent="0.3">
      <c r="H67" s="32"/>
    </row>
    <row r="68" spans="8:8" x14ac:dyDescent="0.3">
      <c r="H68" s="32"/>
    </row>
    <row r="69" spans="8:8" x14ac:dyDescent="0.3">
      <c r="H69" s="32"/>
    </row>
    <row r="70" spans="8:8" x14ac:dyDescent="0.3">
      <c r="H70" s="32"/>
    </row>
    <row r="71" spans="8:8" x14ac:dyDescent="0.3">
      <c r="H71" s="32"/>
    </row>
    <row r="72" spans="8:8" x14ac:dyDescent="0.3">
      <c r="H72" s="32"/>
    </row>
    <row r="73" spans="8:8" x14ac:dyDescent="0.3">
      <c r="H73" s="32"/>
    </row>
    <row r="74" spans="8:8" x14ac:dyDescent="0.3">
      <c r="H74" s="32"/>
    </row>
    <row r="75" spans="8:8" x14ac:dyDescent="0.3">
      <c r="H75" s="32"/>
    </row>
    <row r="76" spans="8:8" x14ac:dyDescent="0.3">
      <c r="H76" s="32"/>
    </row>
    <row r="77" spans="8:8" x14ac:dyDescent="0.3">
      <c r="H77" s="32"/>
    </row>
    <row r="78" spans="8:8" x14ac:dyDescent="0.3">
      <c r="H78" s="32"/>
    </row>
    <row r="79" spans="8:8" x14ac:dyDescent="0.3">
      <c r="H79" s="32"/>
    </row>
    <row r="80" spans="8:8" x14ac:dyDescent="0.3">
      <c r="H80" s="32"/>
    </row>
    <row r="81" spans="8:8" x14ac:dyDescent="0.3">
      <c r="H81" s="32"/>
    </row>
    <row r="82" spans="8:8" x14ac:dyDescent="0.3">
      <c r="H82" s="32"/>
    </row>
    <row r="83" spans="8:8" x14ac:dyDescent="0.3">
      <c r="H83" s="32"/>
    </row>
    <row r="84" spans="8:8" x14ac:dyDescent="0.3">
      <c r="H84" s="32"/>
    </row>
    <row r="85" spans="8:8" x14ac:dyDescent="0.3">
      <c r="H85" s="32"/>
    </row>
  </sheetData>
  <sheetProtection algorithmName="SHA-512" hashValue="Mw6pTuKcK2RYhE/C4vQBDCIgwsfklXez60qdpDn0RbjE5WXSUBdAAkP/35WkhXSAFEbeHzAb3uoKJXPho0vY9Q==" saltValue="P4+ts80LdnIaOIq/++AYYw==" spinCount="100000" sheet="1" objects="1" scenarios="1"/>
  <dataValidations count="2">
    <dataValidation type="whole" operator="lessThan" allowBlank="1" showInputMessage="1" showErrorMessage="1" sqref="F5" xr:uid="{00000000-0002-0000-0000-000000000000}">
      <formula1>D5</formula1>
    </dataValidation>
    <dataValidation type="whole" operator="greaterThan" allowBlank="1" showInputMessage="1" showErrorMessage="1" errorTitle="Positive Integer" error="Positive Integer daal de KHAPITAR!!!" promptTitle="Roll No" prompt="Roll Number must be a Positive Integeer" sqref="H3:AK3" xr:uid="{00000000-0002-0000-0000-000001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2.SEATING">
                <anchor moveWithCells="1">
                  <from>
                    <xdr:col>8</xdr:col>
                    <xdr:colOff>518160</xdr:colOff>
                    <xdr:row>8</xdr:row>
                    <xdr:rowOff>274320</xdr:rowOff>
                  </from>
                  <to>
                    <xdr:col>11</xdr:col>
                    <xdr:colOff>594360</xdr:colOff>
                    <xdr:row>9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398F0E50-0C26-43FF-BF6A-FC1DE2D00290}">
            <xm:f>NOT(ISERROR(SEARCH("Not Sufficient",D9)))</xm:f>
            <xm:f>"Not Sufficient"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containsText" priority="1" operator="containsText" id="{32973BBE-2FCC-44BF-B0B1-A70BE01C101B}">
            <xm:f>NOT(ISERROR(SEARCH("Not Sufficient",F9)))</xm:f>
            <xm:f>"Not Sufficient"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m:sqref>F9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G307"/>
  <sheetViews>
    <sheetView zoomScale="55" zoomScaleNormal="55" workbookViewId="0">
      <selection activeCell="D40" sqref="D40"/>
    </sheetView>
  </sheetViews>
  <sheetFormatPr defaultColWidth="21.5546875" defaultRowHeight="31.5" customHeight="1" x14ac:dyDescent="0.3"/>
  <cols>
    <col min="1" max="6" width="30" style="35" customWidth="1"/>
    <col min="7" max="16384" width="21.5546875" style="35"/>
  </cols>
  <sheetData>
    <row r="1" spans="1:7" ht="31.5" customHeight="1" x14ac:dyDescent="0.3">
      <c r="A1" s="38" t="s">
        <v>29</v>
      </c>
      <c r="B1" s="38"/>
    </row>
    <row r="2" spans="1:7" ht="31.5" customHeight="1" x14ac:dyDescent="0.3">
      <c r="A2" s="35" t="s">
        <v>32</v>
      </c>
      <c r="B2" s="39" t="s">
        <v>31</v>
      </c>
      <c r="C2" s="39"/>
    </row>
    <row r="3" spans="1:7" ht="31.5" customHeight="1" x14ac:dyDescent="0.3">
      <c r="A3" s="35" t="s">
        <v>30</v>
      </c>
      <c r="B3" s="39">
        <v>822018</v>
      </c>
      <c r="C3" s="39"/>
    </row>
    <row r="4" spans="1:7" ht="31.5" customHeight="1" x14ac:dyDescent="0.3">
      <c r="A4" s="35" t="s">
        <v>15</v>
      </c>
      <c r="B4" s="40" t="s">
        <v>74</v>
      </c>
      <c r="C4" s="40"/>
    </row>
    <row r="5" spans="1:7" ht="31.5" customHeight="1" x14ac:dyDescent="0.3">
      <c r="A5" s="35" t="s">
        <v>33</v>
      </c>
      <c r="B5" s="39" t="s">
        <v>138</v>
      </c>
      <c r="C5" s="39"/>
    </row>
    <row r="6" spans="1:7" ht="31.5" customHeight="1" x14ac:dyDescent="0.3">
      <c r="A6" s="35" t="s">
        <v>34</v>
      </c>
      <c r="B6" s="41" t="s">
        <v>137</v>
      </c>
      <c r="C6" s="41"/>
    </row>
    <row r="8" spans="1:7" ht="31.5" customHeight="1" x14ac:dyDescent="0.3">
      <c r="A8" s="47" t="s">
        <v>133</v>
      </c>
    </row>
    <row r="9" spans="1:7" ht="31.5" customHeight="1" x14ac:dyDescent="0.3">
      <c r="A9" s="48" t="s">
        <v>35</v>
      </c>
      <c r="B9" s="48" t="s">
        <v>36</v>
      </c>
      <c r="C9" s="48" t="s">
        <v>35</v>
      </c>
      <c r="D9" s="48" t="s">
        <v>36</v>
      </c>
      <c r="E9" s="48" t="s">
        <v>35</v>
      </c>
      <c r="F9" s="48" t="s">
        <v>36</v>
      </c>
      <c r="G9" s="44"/>
    </row>
    <row r="10" spans="1:7" ht="31.5" customHeight="1" x14ac:dyDescent="0.3">
      <c r="A10" s="49">
        <v>15600774</v>
      </c>
      <c r="B10" s="49"/>
      <c r="C10" s="49">
        <v>15600778</v>
      </c>
      <c r="D10" s="49"/>
      <c r="E10" s="49">
        <v>15600782</v>
      </c>
      <c r="F10" s="49"/>
      <c r="G10" s="42"/>
    </row>
    <row r="11" spans="1:7" ht="31.5" customHeight="1" x14ac:dyDescent="0.3">
      <c r="A11" s="49">
        <v>15600775</v>
      </c>
      <c r="B11" s="49"/>
      <c r="C11" s="49">
        <v>15600779</v>
      </c>
      <c r="D11" s="49"/>
      <c r="E11" s="49">
        <v>15600783</v>
      </c>
      <c r="F11" s="49"/>
      <c r="G11" s="42"/>
    </row>
    <row r="12" spans="1:7" ht="31.5" customHeight="1" x14ac:dyDescent="0.3">
      <c r="A12" s="49">
        <v>15600776</v>
      </c>
      <c r="B12" s="49"/>
      <c r="C12" s="49">
        <v>15600780</v>
      </c>
      <c r="D12" s="49"/>
      <c r="E12" s="49">
        <v>15600784</v>
      </c>
      <c r="F12" s="49"/>
      <c r="G12" s="42"/>
    </row>
    <row r="13" spans="1:7" ht="31.5" customHeight="1" x14ac:dyDescent="0.3">
      <c r="A13" s="49">
        <v>15600777</v>
      </c>
      <c r="B13" s="49"/>
      <c r="C13" s="49">
        <v>15600781</v>
      </c>
      <c r="D13" s="49"/>
      <c r="E13" s="42"/>
      <c r="F13" s="42"/>
      <c r="G13" s="42"/>
    </row>
    <row r="15" spans="1:7" ht="31.5" customHeight="1" x14ac:dyDescent="0.35">
      <c r="A15" s="35" t="s">
        <v>41</v>
      </c>
      <c r="E15" s="50" t="s">
        <v>37</v>
      </c>
      <c r="F15" s="51">
        <v>11</v>
      </c>
      <c r="G15" s="45"/>
    </row>
    <row r="16" spans="1:7" ht="31.5" customHeight="1" x14ac:dyDescent="0.3">
      <c r="A16" s="46">
        <v>1</v>
      </c>
      <c r="E16" s="52" t="s">
        <v>38</v>
      </c>
      <c r="F16" s="52"/>
    </row>
    <row r="17" spans="1:7" ht="31.5" customHeight="1" x14ac:dyDescent="0.3">
      <c r="E17" s="52" t="s">
        <v>39</v>
      </c>
      <c r="F17" s="52"/>
    </row>
    <row r="19" spans="1:7" ht="31.5" customHeight="1" x14ac:dyDescent="0.3">
      <c r="C19" s="36"/>
    </row>
    <row r="21" spans="1:7" ht="31.5" customHeight="1" x14ac:dyDescent="0.3">
      <c r="A21" s="53" t="s">
        <v>42</v>
      </c>
      <c r="C21" s="43"/>
      <c r="D21" s="43"/>
      <c r="F21" s="54" t="s">
        <v>40</v>
      </c>
      <c r="G21" s="54"/>
    </row>
    <row r="23" spans="1:7" ht="31.5" customHeight="1" x14ac:dyDescent="0.3">
      <c r="A23" s="38" t="s">
        <v>29</v>
      </c>
      <c r="B23" s="37"/>
    </row>
    <row r="24" spans="1:7" ht="31.5" customHeight="1" x14ac:dyDescent="0.3">
      <c r="A24" s="35" t="s">
        <v>32</v>
      </c>
      <c r="B24" s="39" t="s">
        <v>31</v>
      </c>
    </row>
    <row r="25" spans="1:7" ht="31.5" customHeight="1" x14ac:dyDescent="0.3">
      <c r="A25" s="35" t="s">
        <v>30</v>
      </c>
      <c r="B25" s="39">
        <v>822018</v>
      </c>
    </row>
    <row r="26" spans="1:7" ht="31.5" customHeight="1" x14ac:dyDescent="0.3">
      <c r="A26" s="35" t="s">
        <v>15</v>
      </c>
      <c r="B26" s="39" t="s">
        <v>74</v>
      </c>
    </row>
    <row r="27" spans="1:7" ht="31.5" customHeight="1" x14ac:dyDescent="0.3">
      <c r="A27" s="35" t="s">
        <v>33</v>
      </c>
      <c r="B27" s="39" t="s">
        <v>138</v>
      </c>
    </row>
    <row r="28" spans="1:7" ht="31.5" customHeight="1" x14ac:dyDescent="0.3">
      <c r="A28" s="35" t="s">
        <v>34</v>
      </c>
      <c r="B28" s="41" t="s">
        <v>137</v>
      </c>
    </row>
    <row r="30" spans="1:7" ht="31.5" customHeight="1" x14ac:dyDescent="0.3">
      <c r="A30" s="47" t="s">
        <v>134</v>
      </c>
    </row>
    <row r="31" spans="1:7" ht="31.5" customHeight="1" x14ac:dyDescent="0.3">
      <c r="A31" s="48" t="s">
        <v>35</v>
      </c>
      <c r="B31" s="48" t="s">
        <v>36</v>
      </c>
      <c r="C31" s="48" t="s">
        <v>35</v>
      </c>
      <c r="D31" s="48" t="s">
        <v>36</v>
      </c>
      <c r="E31" s="48" t="s">
        <v>35</v>
      </c>
      <c r="F31" s="48" t="s">
        <v>36</v>
      </c>
    </row>
    <row r="32" spans="1:7" ht="31.5" customHeight="1" x14ac:dyDescent="0.3">
      <c r="A32" s="49">
        <v>15600785</v>
      </c>
      <c r="B32" s="49"/>
      <c r="C32" s="49">
        <v>15600789</v>
      </c>
      <c r="D32" s="49"/>
      <c r="E32" s="49">
        <v>15600793</v>
      </c>
      <c r="F32" s="49"/>
    </row>
    <row r="33" spans="1:7" ht="31.5" customHeight="1" x14ac:dyDescent="0.3">
      <c r="A33" s="49">
        <v>15600786</v>
      </c>
      <c r="B33" s="49"/>
      <c r="C33" s="49">
        <v>15600790</v>
      </c>
      <c r="D33" s="49"/>
      <c r="E33" s="49">
        <v>15600794</v>
      </c>
      <c r="F33" s="49"/>
    </row>
    <row r="34" spans="1:7" ht="31.5" customHeight="1" x14ac:dyDescent="0.3">
      <c r="A34" s="49">
        <v>15600787</v>
      </c>
      <c r="B34" s="49"/>
      <c r="C34" s="49">
        <v>15600791</v>
      </c>
      <c r="D34" s="49"/>
      <c r="E34" s="49">
        <v>15600795</v>
      </c>
      <c r="F34" s="49"/>
    </row>
    <row r="35" spans="1:7" ht="31.5" customHeight="1" x14ac:dyDescent="0.3">
      <c r="A35" s="49">
        <v>15600788</v>
      </c>
      <c r="B35" s="49"/>
      <c r="C35" s="49">
        <v>15600792</v>
      </c>
      <c r="D35" s="49"/>
      <c r="E35" s="42"/>
      <c r="F35" s="42"/>
    </row>
    <row r="37" spans="1:7" ht="31.5" customHeight="1" x14ac:dyDescent="0.35">
      <c r="A37" s="35" t="s">
        <v>41</v>
      </c>
      <c r="E37" s="50" t="s">
        <v>37</v>
      </c>
      <c r="F37" s="51">
        <v>11</v>
      </c>
    </row>
    <row r="38" spans="1:7" ht="31.5" customHeight="1" x14ac:dyDescent="0.3">
      <c r="A38" s="46">
        <v>1</v>
      </c>
      <c r="E38" s="52" t="s">
        <v>38</v>
      </c>
      <c r="F38" s="52"/>
    </row>
    <row r="39" spans="1:7" ht="31.5" customHeight="1" x14ac:dyDescent="0.3">
      <c r="E39" s="52" t="s">
        <v>39</v>
      </c>
      <c r="F39" s="52"/>
    </row>
    <row r="41" spans="1:7" ht="31.5" customHeight="1" x14ac:dyDescent="0.3">
      <c r="C41" s="36"/>
    </row>
    <row r="42" spans="1:7" ht="31.5" customHeight="1" x14ac:dyDescent="0.3">
      <c r="B42" s="37"/>
    </row>
    <row r="43" spans="1:7" ht="31.5" customHeight="1" x14ac:dyDescent="0.3">
      <c r="A43" s="53" t="s">
        <v>42</v>
      </c>
      <c r="C43" s="43"/>
      <c r="F43" s="54" t="s">
        <v>40</v>
      </c>
      <c r="G43" s="54"/>
    </row>
    <row r="45" spans="1:7" ht="31.5" customHeight="1" x14ac:dyDescent="0.3">
      <c r="A45" s="38"/>
    </row>
    <row r="46" spans="1:7" ht="31.5" customHeight="1" x14ac:dyDescent="0.3">
      <c r="B46" s="39"/>
    </row>
    <row r="47" spans="1:7" ht="31.5" customHeight="1" x14ac:dyDescent="0.3">
      <c r="B47" s="39"/>
    </row>
    <row r="48" spans="1:7" ht="31.5" customHeight="1" x14ac:dyDescent="0.3">
      <c r="B48" s="39"/>
    </row>
    <row r="49" spans="1:6" ht="31.5" customHeight="1" x14ac:dyDescent="0.3">
      <c r="B49" s="88"/>
    </row>
    <row r="50" spans="1:6" ht="31.5" customHeight="1" x14ac:dyDescent="0.3">
      <c r="B50" s="89"/>
    </row>
    <row r="52" spans="1:6" ht="31.5" customHeight="1" x14ac:dyDescent="0.3">
      <c r="A52" s="47"/>
    </row>
    <row r="53" spans="1:6" ht="31.5" customHeight="1" x14ac:dyDescent="0.3">
      <c r="A53" s="44"/>
      <c r="B53" s="44"/>
      <c r="C53" s="44"/>
      <c r="D53" s="44"/>
      <c r="E53" s="44"/>
      <c r="F53" s="44"/>
    </row>
    <row r="54" spans="1:6" ht="31.5" customHeight="1" x14ac:dyDescent="0.3">
      <c r="A54" s="42"/>
      <c r="B54" s="42"/>
      <c r="C54" s="42"/>
      <c r="D54" s="42"/>
      <c r="E54" s="42"/>
      <c r="F54" s="42"/>
    </row>
    <row r="55" spans="1:6" ht="31.5" customHeight="1" x14ac:dyDescent="0.3">
      <c r="A55" s="42"/>
      <c r="B55" s="42"/>
      <c r="C55" s="42"/>
      <c r="D55" s="42"/>
      <c r="E55" s="42"/>
      <c r="F55" s="42"/>
    </row>
    <row r="56" spans="1:6" ht="31.5" customHeight="1" x14ac:dyDescent="0.3">
      <c r="A56" s="42"/>
      <c r="B56" s="42"/>
      <c r="C56" s="42"/>
      <c r="D56" s="42"/>
      <c r="E56" s="42"/>
      <c r="F56" s="42"/>
    </row>
    <row r="57" spans="1:6" ht="31.5" customHeight="1" x14ac:dyDescent="0.3">
      <c r="A57" s="42"/>
      <c r="B57" s="42"/>
      <c r="C57" s="42"/>
      <c r="D57" s="42"/>
      <c r="E57" s="42"/>
      <c r="F57" s="42"/>
    </row>
    <row r="58" spans="1:6" ht="31.5" customHeight="1" x14ac:dyDescent="0.3">
      <c r="E58" s="42"/>
    </row>
    <row r="59" spans="1:6" ht="31.5" customHeight="1" x14ac:dyDescent="0.35">
      <c r="E59" s="67"/>
      <c r="F59" s="45"/>
    </row>
    <row r="60" spans="1:6" ht="31.5" customHeight="1" x14ac:dyDescent="0.3">
      <c r="A60" s="46"/>
    </row>
    <row r="61" spans="1:6" ht="31.5" customHeight="1" x14ac:dyDescent="0.3">
      <c r="B61" s="37"/>
    </row>
    <row r="63" spans="1:6" ht="31.5" customHeight="1" x14ac:dyDescent="0.3">
      <c r="C63" s="36"/>
    </row>
    <row r="65" spans="1:7" ht="31.5" customHeight="1" x14ac:dyDescent="0.3">
      <c r="A65" s="53"/>
      <c r="C65" s="43"/>
      <c r="F65" s="54"/>
      <c r="G65" s="54"/>
    </row>
    <row r="67" spans="1:7" ht="31.5" customHeight="1" x14ac:dyDescent="0.3">
      <c r="A67" s="38"/>
    </row>
    <row r="68" spans="1:7" ht="31.5" customHeight="1" x14ac:dyDescent="0.3">
      <c r="B68" s="39"/>
    </row>
    <row r="69" spans="1:7" ht="31.5" customHeight="1" x14ac:dyDescent="0.3">
      <c r="B69" s="39"/>
    </row>
    <row r="70" spans="1:7" ht="31.5" customHeight="1" x14ac:dyDescent="0.3">
      <c r="B70" s="39"/>
    </row>
    <row r="71" spans="1:7" ht="31.5" customHeight="1" x14ac:dyDescent="0.3">
      <c r="B71" s="39"/>
    </row>
    <row r="72" spans="1:7" ht="31.5" customHeight="1" x14ac:dyDescent="0.3">
      <c r="B72" s="41"/>
    </row>
    <row r="74" spans="1:7" ht="31.5" customHeight="1" x14ac:dyDescent="0.3">
      <c r="A74" s="47"/>
    </row>
    <row r="75" spans="1:7" ht="31.5" customHeight="1" x14ac:dyDescent="0.3">
      <c r="A75" s="44"/>
      <c r="B75" s="44"/>
      <c r="C75" s="44"/>
      <c r="D75" s="44"/>
      <c r="E75" s="44"/>
      <c r="F75" s="44"/>
    </row>
    <row r="76" spans="1:7" ht="31.5" customHeight="1" x14ac:dyDescent="0.3">
      <c r="A76" s="42"/>
      <c r="B76" s="42"/>
      <c r="C76" s="42"/>
      <c r="D76" s="42"/>
      <c r="E76" s="42"/>
      <c r="F76" s="42"/>
    </row>
    <row r="77" spans="1:7" ht="31.5" customHeight="1" x14ac:dyDescent="0.3">
      <c r="A77" s="42"/>
      <c r="B77" s="42"/>
      <c r="C77" s="42"/>
      <c r="D77" s="42"/>
      <c r="E77" s="42"/>
      <c r="F77" s="42"/>
    </row>
    <row r="78" spans="1:7" ht="31.5" customHeight="1" x14ac:dyDescent="0.3">
      <c r="A78" s="42"/>
      <c r="B78" s="42"/>
      <c r="C78" s="42"/>
      <c r="D78" s="42"/>
      <c r="E78" s="42"/>
      <c r="F78" s="42"/>
    </row>
    <row r="79" spans="1:7" ht="31.5" customHeight="1" x14ac:dyDescent="0.3">
      <c r="A79" s="42"/>
      <c r="B79" s="42"/>
      <c r="C79" s="42"/>
      <c r="D79" s="42"/>
      <c r="E79" s="42"/>
      <c r="F79" s="42"/>
    </row>
    <row r="80" spans="1:7" ht="31.5" customHeight="1" x14ac:dyDescent="0.3">
      <c r="B80" s="37"/>
    </row>
    <row r="81" spans="1:7" ht="31.5" customHeight="1" x14ac:dyDescent="0.35">
      <c r="E81" s="67"/>
      <c r="F81" s="45"/>
    </row>
    <row r="82" spans="1:7" ht="31.5" customHeight="1" x14ac:dyDescent="0.3">
      <c r="A82" s="46"/>
    </row>
    <row r="85" spans="1:7" ht="31.5" customHeight="1" x14ac:dyDescent="0.3">
      <c r="C85" s="36"/>
    </row>
    <row r="87" spans="1:7" ht="31.5" customHeight="1" x14ac:dyDescent="0.3">
      <c r="A87" s="53"/>
      <c r="C87" s="43"/>
      <c r="F87" s="54"/>
      <c r="G87" s="54"/>
    </row>
    <row r="89" spans="1:7" ht="31.5" customHeight="1" x14ac:dyDescent="0.3">
      <c r="A89" s="38"/>
    </row>
    <row r="90" spans="1:7" ht="31.5" customHeight="1" x14ac:dyDescent="0.3">
      <c r="B90" s="39"/>
    </row>
    <row r="91" spans="1:7" ht="31.5" customHeight="1" x14ac:dyDescent="0.3">
      <c r="B91" s="39"/>
    </row>
    <row r="92" spans="1:7" ht="31.5" customHeight="1" x14ac:dyDescent="0.3">
      <c r="B92" s="39"/>
    </row>
    <row r="93" spans="1:7" ht="31.5" customHeight="1" x14ac:dyDescent="0.3">
      <c r="B93" s="39"/>
    </row>
    <row r="94" spans="1:7" ht="31.5" customHeight="1" x14ac:dyDescent="0.3">
      <c r="B94" s="41"/>
    </row>
    <row r="96" spans="1:7" ht="31.5" customHeight="1" x14ac:dyDescent="0.3">
      <c r="A96" s="47"/>
    </row>
    <row r="97" spans="1:7" ht="31.5" customHeight="1" x14ac:dyDescent="0.3">
      <c r="A97" s="44"/>
      <c r="B97" s="44"/>
      <c r="C97" s="44"/>
      <c r="D97" s="44"/>
      <c r="E97" s="44"/>
      <c r="F97" s="44"/>
    </row>
    <row r="98" spans="1:7" ht="31.5" customHeight="1" x14ac:dyDescent="0.3">
      <c r="A98" s="42"/>
      <c r="B98" s="42"/>
      <c r="C98" s="42"/>
      <c r="D98" s="42"/>
      <c r="E98" s="42"/>
      <c r="F98" s="42"/>
    </row>
    <row r="99" spans="1:7" ht="31.5" customHeight="1" x14ac:dyDescent="0.3">
      <c r="A99" s="42"/>
      <c r="B99" s="80"/>
      <c r="C99" s="42"/>
      <c r="D99" s="42"/>
      <c r="E99" s="42"/>
      <c r="F99" s="42"/>
    </row>
    <row r="100" spans="1:7" ht="31.5" customHeight="1" x14ac:dyDescent="0.3">
      <c r="A100" s="42"/>
      <c r="B100" s="42"/>
      <c r="C100" s="42"/>
      <c r="D100" s="42"/>
      <c r="E100" s="42"/>
      <c r="F100" s="42"/>
    </row>
    <row r="101" spans="1:7" ht="31.5" customHeight="1" x14ac:dyDescent="0.3">
      <c r="A101" s="42"/>
      <c r="B101" s="42"/>
      <c r="C101" s="42"/>
      <c r="D101" s="42"/>
      <c r="E101" s="42"/>
      <c r="F101" s="42"/>
    </row>
    <row r="103" spans="1:7" ht="31.5" customHeight="1" x14ac:dyDescent="0.35">
      <c r="E103" s="67"/>
      <c r="F103" s="45"/>
    </row>
    <row r="104" spans="1:7" ht="31.5" customHeight="1" x14ac:dyDescent="0.3">
      <c r="A104" s="46"/>
    </row>
    <row r="107" spans="1:7" ht="31.5" customHeight="1" x14ac:dyDescent="0.3">
      <c r="C107" s="36"/>
    </row>
    <row r="109" spans="1:7" ht="31.5" customHeight="1" x14ac:dyDescent="0.3">
      <c r="A109" s="53"/>
      <c r="C109" s="43"/>
      <c r="F109" s="54"/>
      <c r="G109" s="54"/>
    </row>
    <row r="111" spans="1:7" ht="31.5" customHeight="1" x14ac:dyDescent="0.3">
      <c r="A111" s="38"/>
    </row>
    <row r="112" spans="1:7" ht="31.5" customHeight="1" x14ac:dyDescent="0.3">
      <c r="B112" s="39"/>
    </row>
    <row r="113" spans="1:6" ht="31.5" customHeight="1" x14ac:dyDescent="0.3">
      <c r="B113" s="39"/>
    </row>
    <row r="114" spans="1:6" ht="31.5" customHeight="1" x14ac:dyDescent="0.3">
      <c r="B114" s="39"/>
    </row>
    <row r="115" spans="1:6" ht="31.5" customHeight="1" x14ac:dyDescent="0.3">
      <c r="B115" s="39"/>
    </row>
    <row r="116" spans="1:6" ht="31.5" customHeight="1" x14ac:dyDescent="0.3">
      <c r="B116" s="41"/>
    </row>
    <row r="118" spans="1:6" ht="31.5" customHeight="1" x14ac:dyDescent="0.3">
      <c r="A118" s="47"/>
      <c r="B118" s="37"/>
    </row>
    <row r="119" spans="1:6" ht="31.5" customHeight="1" x14ac:dyDescent="0.3">
      <c r="A119" s="44"/>
      <c r="B119" s="44"/>
      <c r="C119" s="44"/>
      <c r="D119" s="44"/>
      <c r="E119" s="44"/>
      <c r="F119" s="44"/>
    </row>
    <row r="120" spans="1:6" ht="31.5" customHeight="1" x14ac:dyDescent="0.3">
      <c r="A120" s="42"/>
      <c r="B120" s="42"/>
      <c r="C120" s="42"/>
      <c r="D120" s="42"/>
      <c r="E120" s="42"/>
      <c r="F120" s="42"/>
    </row>
    <row r="121" spans="1:6" ht="31.5" customHeight="1" x14ac:dyDescent="0.3">
      <c r="A121" s="42"/>
      <c r="B121" s="42"/>
      <c r="C121" s="42"/>
      <c r="D121" s="42"/>
      <c r="E121" s="42"/>
      <c r="F121" s="42"/>
    </row>
    <row r="122" spans="1:6" ht="31.5" customHeight="1" x14ac:dyDescent="0.3">
      <c r="A122" s="42"/>
      <c r="B122" s="42"/>
      <c r="C122" s="42"/>
      <c r="D122" s="42"/>
      <c r="E122" s="42"/>
      <c r="F122" s="42"/>
    </row>
    <row r="123" spans="1:6" ht="31.5" customHeight="1" x14ac:dyDescent="0.3">
      <c r="A123" s="42"/>
      <c r="B123" s="42"/>
      <c r="C123" s="42"/>
      <c r="D123" s="42"/>
      <c r="E123" s="42"/>
      <c r="F123" s="42"/>
    </row>
    <row r="125" spans="1:6" ht="31.5" customHeight="1" x14ac:dyDescent="0.35">
      <c r="E125" s="67"/>
      <c r="F125" s="45"/>
    </row>
    <row r="126" spans="1:6" ht="31.5" customHeight="1" x14ac:dyDescent="0.3">
      <c r="A126" s="46"/>
    </row>
    <row r="129" spans="1:7" ht="31.5" customHeight="1" x14ac:dyDescent="0.3">
      <c r="C129" s="36"/>
    </row>
    <row r="131" spans="1:7" ht="31.5" customHeight="1" x14ac:dyDescent="0.3">
      <c r="A131" s="53"/>
      <c r="C131" s="43"/>
      <c r="F131" s="54"/>
      <c r="G131" s="54"/>
    </row>
    <row r="133" spans="1:7" ht="31.5" customHeight="1" x14ac:dyDescent="0.3">
      <c r="A133" s="38"/>
    </row>
    <row r="134" spans="1:7" ht="31.5" customHeight="1" x14ac:dyDescent="0.3">
      <c r="B134" s="39"/>
    </row>
    <row r="135" spans="1:7" ht="31.5" customHeight="1" x14ac:dyDescent="0.3">
      <c r="B135" s="39"/>
    </row>
    <row r="136" spans="1:7" ht="31.5" customHeight="1" x14ac:dyDescent="0.3">
      <c r="B136" s="39"/>
    </row>
    <row r="137" spans="1:7" ht="31.5" customHeight="1" x14ac:dyDescent="0.3">
      <c r="B137" s="39"/>
    </row>
    <row r="138" spans="1:7" ht="31.5" customHeight="1" x14ac:dyDescent="0.3">
      <c r="B138" s="41"/>
    </row>
    <row r="140" spans="1:7" ht="31.5" customHeight="1" x14ac:dyDescent="0.3">
      <c r="A140" s="47"/>
    </row>
    <row r="141" spans="1:7" ht="31.5" customHeight="1" x14ac:dyDescent="0.3">
      <c r="A141" s="44"/>
      <c r="B141" s="44"/>
      <c r="C141" s="44"/>
      <c r="D141" s="44"/>
      <c r="E141" s="44"/>
      <c r="F141" s="44"/>
    </row>
    <row r="142" spans="1:7" ht="31.5" customHeight="1" x14ac:dyDescent="0.3">
      <c r="A142" s="42"/>
      <c r="B142" s="42"/>
      <c r="C142" s="42"/>
      <c r="D142" s="42"/>
      <c r="E142" s="42"/>
      <c r="F142" s="42"/>
    </row>
    <row r="143" spans="1:7" ht="31.5" customHeight="1" x14ac:dyDescent="0.3">
      <c r="A143" s="42"/>
      <c r="B143" s="42"/>
      <c r="C143" s="42"/>
      <c r="D143" s="42"/>
      <c r="E143" s="42"/>
      <c r="F143" s="42"/>
    </row>
    <row r="144" spans="1:7" ht="31.5" customHeight="1" x14ac:dyDescent="0.3">
      <c r="A144" s="42"/>
      <c r="B144" s="42"/>
      <c r="C144" s="42"/>
      <c r="D144" s="42"/>
      <c r="E144" s="42"/>
      <c r="F144" s="42"/>
    </row>
    <row r="145" spans="1:7" ht="31.5" customHeight="1" x14ac:dyDescent="0.3">
      <c r="A145" s="42"/>
      <c r="B145" s="42"/>
      <c r="C145" s="42"/>
      <c r="D145" s="42"/>
      <c r="E145" s="42"/>
      <c r="F145" s="42"/>
    </row>
    <row r="147" spans="1:7" ht="31.5" customHeight="1" x14ac:dyDescent="0.35">
      <c r="E147" s="67"/>
      <c r="F147" s="45"/>
    </row>
    <row r="148" spans="1:7" ht="31.5" customHeight="1" x14ac:dyDescent="0.3">
      <c r="A148" s="46"/>
    </row>
    <row r="151" spans="1:7" ht="31.5" customHeight="1" x14ac:dyDescent="0.3">
      <c r="C151" s="36"/>
    </row>
    <row r="153" spans="1:7" ht="31.5" customHeight="1" x14ac:dyDescent="0.3">
      <c r="A153" s="53"/>
      <c r="C153" s="43"/>
      <c r="F153" s="54"/>
      <c r="G153" s="54"/>
    </row>
    <row r="155" spans="1:7" ht="31.5" customHeight="1" x14ac:dyDescent="0.3">
      <c r="A155" s="38"/>
    </row>
    <row r="156" spans="1:7" ht="31.5" customHeight="1" x14ac:dyDescent="0.3">
      <c r="B156" s="39"/>
    </row>
    <row r="157" spans="1:7" ht="31.5" customHeight="1" x14ac:dyDescent="0.3">
      <c r="B157" s="39"/>
    </row>
    <row r="158" spans="1:7" ht="31.5" customHeight="1" x14ac:dyDescent="0.3">
      <c r="B158" s="39"/>
    </row>
    <row r="159" spans="1:7" ht="31.5" customHeight="1" x14ac:dyDescent="0.3">
      <c r="B159" s="39"/>
    </row>
    <row r="160" spans="1:7" ht="31.5" customHeight="1" x14ac:dyDescent="0.3">
      <c r="B160" s="41"/>
    </row>
    <row r="162" spans="1:7" ht="31.5" customHeight="1" x14ac:dyDescent="0.3">
      <c r="A162" s="47"/>
    </row>
    <row r="163" spans="1:7" ht="31.5" customHeight="1" x14ac:dyDescent="0.3">
      <c r="A163" s="44"/>
      <c r="B163" s="44"/>
      <c r="C163" s="44"/>
      <c r="D163" s="44"/>
      <c r="E163" s="44"/>
      <c r="F163" s="44"/>
    </row>
    <row r="164" spans="1:7" ht="31.5" customHeight="1" x14ac:dyDescent="0.3">
      <c r="A164" s="42"/>
      <c r="B164" s="42"/>
      <c r="C164" s="42"/>
      <c r="D164" s="42"/>
      <c r="E164" s="42"/>
      <c r="F164" s="42"/>
    </row>
    <row r="165" spans="1:7" ht="31.5" customHeight="1" x14ac:dyDescent="0.3">
      <c r="A165" s="42"/>
      <c r="B165" s="42"/>
      <c r="C165" s="42"/>
      <c r="D165" s="42"/>
      <c r="E165" s="42"/>
      <c r="F165" s="42"/>
    </row>
    <row r="166" spans="1:7" ht="31.5" customHeight="1" x14ac:dyDescent="0.3">
      <c r="A166" s="42"/>
      <c r="B166" s="42"/>
      <c r="C166" s="42"/>
      <c r="D166" s="42"/>
      <c r="E166" s="42"/>
      <c r="F166" s="42"/>
    </row>
    <row r="167" spans="1:7" ht="31.5" customHeight="1" x14ac:dyDescent="0.3">
      <c r="A167" s="42"/>
      <c r="B167" s="42"/>
      <c r="C167" s="42"/>
      <c r="D167" s="42"/>
      <c r="E167" s="42"/>
      <c r="F167" s="42"/>
    </row>
    <row r="169" spans="1:7" ht="31.5" customHeight="1" x14ac:dyDescent="0.35">
      <c r="E169" s="67"/>
      <c r="F169" s="45"/>
    </row>
    <row r="170" spans="1:7" ht="31.5" customHeight="1" x14ac:dyDescent="0.3">
      <c r="A170" s="46"/>
    </row>
    <row r="175" spans="1:7" ht="31.5" customHeight="1" x14ac:dyDescent="0.3">
      <c r="A175" s="53"/>
      <c r="C175" s="43"/>
      <c r="F175" s="54"/>
      <c r="G175" s="54"/>
    </row>
    <row r="177" spans="1:6" ht="31.5" customHeight="1" x14ac:dyDescent="0.3">
      <c r="A177" s="38"/>
    </row>
    <row r="178" spans="1:6" ht="31.5" customHeight="1" x14ac:dyDescent="0.3">
      <c r="B178" s="39"/>
    </row>
    <row r="179" spans="1:6" ht="31.5" customHeight="1" x14ac:dyDescent="0.3">
      <c r="B179" s="39"/>
    </row>
    <row r="180" spans="1:6" ht="31.5" customHeight="1" x14ac:dyDescent="0.3">
      <c r="B180" s="39"/>
    </row>
    <row r="181" spans="1:6" ht="31.5" customHeight="1" x14ac:dyDescent="0.3">
      <c r="B181" s="39"/>
    </row>
    <row r="182" spans="1:6" ht="31.5" customHeight="1" x14ac:dyDescent="0.3">
      <c r="B182" s="41"/>
    </row>
    <row r="184" spans="1:6" ht="31.5" customHeight="1" x14ac:dyDescent="0.3">
      <c r="A184" s="47"/>
    </row>
    <row r="185" spans="1:6" ht="31.5" customHeight="1" x14ac:dyDescent="0.3">
      <c r="A185" s="44"/>
      <c r="B185" s="44"/>
      <c r="C185" s="44"/>
      <c r="D185" s="44"/>
      <c r="E185" s="44"/>
      <c r="F185" s="44"/>
    </row>
    <row r="186" spans="1:6" ht="31.5" customHeight="1" x14ac:dyDescent="0.3">
      <c r="A186" s="42"/>
      <c r="B186" s="42"/>
      <c r="C186" s="42"/>
      <c r="D186" s="42"/>
      <c r="E186" s="42"/>
      <c r="F186" s="42"/>
    </row>
    <row r="187" spans="1:6" ht="31.5" customHeight="1" x14ac:dyDescent="0.3">
      <c r="A187" s="42"/>
      <c r="B187" s="42"/>
      <c r="C187" s="42"/>
      <c r="D187" s="42"/>
      <c r="E187" s="42"/>
      <c r="F187" s="42"/>
    </row>
    <row r="188" spans="1:6" ht="31.5" customHeight="1" x14ac:dyDescent="0.3">
      <c r="A188" s="42"/>
      <c r="B188" s="42"/>
      <c r="C188" s="42"/>
      <c r="D188" s="42"/>
      <c r="E188" s="42"/>
      <c r="F188" s="42"/>
    </row>
    <row r="189" spans="1:6" ht="31.5" customHeight="1" x14ac:dyDescent="0.3">
      <c r="A189" s="42"/>
      <c r="B189" s="42"/>
      <c r="C189" s="42"/>
      <c r="D189" s="42"/>
      <c r="E189" s="42"/>
      <c r="F189" s="42"/>
    </row>
    <row r="191" spans="1:6" ht="31.5" customHeight="1" x14ac:dyDescent="0.35">
      <c r="E191" s="67"/>
      <c r="F191" s="45"/>
    </row>
    <row r="192" spans="1:6" ht="31.5" customHeight="1" x14ac:dyDescent="0.3">
      <c r="A192" s="46"/>
    </row>
    <row r="197" spans="1:7" ht="31.5" customHeight="1" x14ac:dyDescent="0.3">
      <c r="A197" s="53"/>
      <c r="C197" s="43"/>
      <c r="F197" s="54"/>
      <c r="G197" s="54"/>
    </row>
    <row r="199" spans="1:7" ht="31.5" customHeight="1" x14ac:dyDescent="0.3">
      <c r="A199" s="38"/>
    </row>
    <row r="200" spans="1:7" ht="31.5" customHeight="1" x14ac:dyDescent="0.3">
      <c r="B200" s="39"/>
    </row>
    <row r="201" spans="1:7" ht="31.5" customHeight="1" x14ac:dyDescent="0.3">
      <c r="B201" s="39"/>
    </row>
    <row r="202" spans="1:7" ht="31.5" customHeight="1" x14ac:dyDescent="0.3">
      <c r="B202" s="39"/>
    </row>
    <row r="203" spans="1:7" ht="31.5" customHeight="1" x14ac:dyDescent="0.3">
      <c r="B203" s="39"/>
    </row>
    <row r="204" spans="1:7" ht="31.5" customHeight="1" x14ac:dyDescent="0.3">
      <c r="B204" s="41"/>
    </row>
    <row r="206" spans="1:7" ht="31.5" customHeight="1" x14ac:dyDescent="0.3">
      <c r="A206" s="47"/>
    </row>
    <row r="207" spans="1:7" ht="31.5" customHeight="1" x14ac:dyDescent="0.3">
      <c r="A207" s="44"/>
      <c r="B207" s="44"/>
      <c r="C207" s="44"/>
      <c r="D207" s="44"/>
      <c r="E207" s="44"/>
      <c r="F207" s="44"/>
    </row>
    <row r="208" spans="1:7" ht="31.5" customHeight="1" x14ac:dyDescent="0.3">
      <c r="A208" s="42"/>
      <c r="B208" s="42"/>
      <c r="C208" s="42"/>
      <c r="D208" s="42"/>
      <c r="E208" s="42"/>
      <c r="F208" s="42"/>
    </row>
    <row r="209" spans="1:7" ht="31.5" customHeight="1" x14ac:dyDescent="0.3">
      <c r="A209" s="42"/>
      <c r="B209" s="42"/>
      <c r="C209" s="42"/>
      <c r="D209" s="42"/>
      <c r="E209" s="42"/>
      <c r="F209" s="42"/>
    </row>
    <row r="210" spans="1:7" ht="31.5" customHeight="1" x14ac:dyDescent="0.3">
      <c r="A210" s="42"/>
      <c r="B210" s="42"/>
      <c r="C210" s="42"/>
      <c r="D210" s="42"/>
      <c r="E210" s="42"/>
      <c r="F210" s="42"/>
    </row>
    <row r="211" spans="1:7" ht="31.5" customHeight="1" x14ac:dyDescent="0.3">
      <c r="A211" s="42"/>
      <c r="B211" s="42"/>
      <c r="C211" s="42"/>
      <c r="D211" s="42"/>
      <c r="E211" s="42"/>
      <c r="F211" s="42"/>
    </row>
    <row r="213" spans="1:7" ht="31.5" customHeight="1" x14ac:dyDescent="0.35">
      <c r="E213" s="67"/>
      <c r="F213" s="45"/>
    </row>
    <row r="214" spans="1:7" ht="31.5" customHeight="1" x14ac:dyDescent="0.3">
      <c r="A214" s="46"/>
    </row>
    <row r="219" spans="1:7" ht="31.5" customHeight="1" x14ac:dyDescent="0.3">
      <c r="A219" s="53"/>
      <c r="C219" s="43"/>
      <c r="F219" s="54"/>
      <c r="G219" s="54"/>
    </row>
    <row r="221" spans="1:7" ht="31.5" customHeight="1" x14ac:dyDescent="0.3">
      <c r="A221" s="38"/>
    </row>
    <row r="222" spans="1:7" ht="31.5" customHeight="1" x14ac:dyDescent="0.3">
      <c r="B222" s="39"/>
    </row>
    <row r="223" spans="1:7" ht="31.5" customHeight="1" x14ac:dyDescent="0.3">
      <c r="B223" s="39"/>
    </row>
    <row r="224" spans="1:7" ht="31.5" customHeight="1" x14ac:dyDescent="0.3">
      <c r="B224" s="39"/>
    </row>
    <row r="225" spans="1:6" ht="31.5" customHeight="1" x14ac:dyDescent="0.3">
      <c r="B225" s="39"/>
    </row>
    <row r="226" spans="1:6" ht="31.5" customHeight="1" x14ac:dyDescent="0.3">
      <c r="B226" s="41"/>
    </row>
    <row r="228" spans="1:6" ht="31.5" customHeight="1" x14ac:dyDescent="0.3">
      <c r="A228" s="47"/>
    </row>
    <row r="229" spans="1:6" ht="31.5" customHeight="1" x14ac:dyDescent="0.3">
      <c r="A229" s="44"/>
      <c r="B229" s="44"/>
      <c r="C229" s="44"/>
      <c r="D229" s="44"/>
      <c r="E229" s="44"/>
      <c r="F229" s="44"/>
    </row>
    <row r="230" spans="1:6" ht="31.5" customHeight="1" x14ac:dyDescent="0.3">
      <c r="A230" s="42"/>
      <c r="B230" s="42"/>
      <c r="C230" s="42"/>
      <c r="D230" s="42"/>
      <c r="E230" s="42"/>
      <c r="F230" s="42"/>
    </row>
    <row r="231" spans="1:6" ht="31.5" customHeight="1" x14ac:dyDescent="0.3">
      <c r="A231" s="42"/>
      <c r="B231" s="42"/>
      <c r="C231" s="42"/>
      <c r="D231" s="42"/>
      <c r="E231" s="42"/>
      <c r="F231" s="42"/>
    </row>
    <row r="232" spans="1:6" ht="31.5" customHeight="1" x14ac:dyDescent="0.3">
      <c r="A232" s="42"/>
      <c r="B232" s="42"/>
      <c r="C232" s="42"/>
      <c r="D232" s="42"/>
      <c r="E232" s="42"/>
      <c r="F232" s="42"/>
    </row>
    <row r="233" spans="1:6" ht="31.5" customHeight="1" x14ac:dyDescent="0.3">
      <c r="A233" s="42"/>
      <c r="B233" s="42"/>
      <c r="C233" s="42"/>
      <c r="D233" s="42"/>
      <c r="E233" s="42"/>
      <c r="F233" s="42"/>
    </row>
    <row r="235" spans="1:6" ht="31.5" customHeight="1" x14ac:dyDescent="0.35">
      <c r="E235" s="67"/>
      <c r="F235" s="45"/>
    </row>
    <row r="236" spans="1:6" ht="31.5" customHeight="1" x14ac:dyDescent="0.3">
      <c r="A236" s="46"/>
    </row>
    <row r="241" spans="1:7" ht="31.5" customHeight="1" x14ac:dyDescent="0.3">
      <c r="A241" s="53"/>
      <c r="C241" s="43"/>
      <c r="F241" s="54"/>
      <c r="G241" s="54"/>
    </row>
    <row r="243" spans="1:7" ht="31.5" customHeight="1" x14ac:dyDescent="0.3">
      <c r="A243" s="38"/>
    </row>
    <row r="244" spans="1:7" ht="31.5" customHeight="1" x14ac:dyDescent="0.3">
      <c r="B244" s="39"/>
    </row>
    <row r="245" spans="1:7" ht="31.5" customHeight="1" x14ac:dyDescent="0.3">
      <c r="B245" s="39"/>
    </row>
    <row r="246" spans="1:7" ht="31.5" customHeight="1" x14ac:dyDescent="0.3">
      <c r="B246" s="39"/>
    </row>
    <row r="247" spans="1:7" ht="31.5" customHeight="1" x14ac:dyDescent="0.3">
      <c r="B247" s="39"/>
    </row>
    <row r="248" spans="1:7" ht="31.5" customHeight="1" x14ac:dyDescent="0.3">
      <c r="B248" s="41"/>
    </row>
    <row r="250" spans="1:7" ht="31.5" customHeight="1" x14ac:dyDescent="0.3">
      <c r="A250" s="47"/>
    </row>
    <row r="251" spans="1:7" ht="31.5" customHeight="1" x14ac:dyDescent="0.3">
      <c r="A251" s="44"/>
      <c r="B251" s="44"/>
      <c r="C251" s="44"/>
      <c r="D251" s="44"/>
      <c r="E251" s="44"/>
      <c r="F251" s="44"/>
    </row>
    <row r="252" spans="1:7" ht="31.5" customHeight="1" x14ac:dyDescent="0.3">
      <c r="A252" s="42"/>
      <c r="B252" s="42"/>
      <c r="C252" s="42"/>
      <c r="D252" s="42"/>
      <c r="E252" s="42"/>
      <c r="F252" s="42"/>
    </row>
    <row r="253" spans="1:7" ht="31.5" customHeight="1" x14ac:dyDescent="0.3">
      <c r="A253" s="42"/>
      <c r="B253" s="42"/>
      <c r="C253" s="42"/>
      <c r="D253" s="42"/>
      <c r="E253" s="42"/>
      <c r="F253" s="42"/>
    </row>
    <row r="254" spans="1:7" ht="31.5" customHeight="1" x14ac:dyDescent="0.3">
      <c r="A254" s="42"/>
      <c r="B254" s="42"/>
      <c r="C254" s="42"/>
      <c r="D254" s="42"/>
      <c r="E254" s="42"/>
      <c r="F254" s="42"/>
    </row>
    <row r="255" spans="1:7" ht="31.5" customHeight="1" x14ac:dyDescent="0.3">
      <c r="A255" s="42"/>
      <c r="B255" s="42"/>
      <c r="C255" s="42"/>
      <c r="D255" s="42"/>
      <c r="E255" s="42"/>
      <c r="F255" s="42"/>
    </row>
    <row r="257" spans="1:7" ht="31.5" customHeight="1" x14ac:dyDescent="0.35">
      <c r="E257" s="67"/>
      <c r="F257" s="45"/>
    </row>
    <row r="258" spans="1:7" ht="31.5" customHeight="1" x14ac:dyDescent="0.3">
      <c r="A258" s="46"/>
    </row>
    <row r="263" spans="1:7" ht="31.5" customHeight="1" x14ac:dyDescent="0.3">
      <c r="A263" s="53"/>
      <c r="C263" s="43"/>
      <c r="F263" s="54"/>
      <c r="G263" s="54"/>
    </row>
    <row r="265" spans="1:7" ht="31.5" customHeight="1" x14ac:dyDescent="0.3">
      <c r="A265" s="38"/>
    </row>
    <row r="266" spans="1:7" ht="31.5" customHeight="1" x14ac:dyDescent="0.3">
      <c r="B266" s="39"/>
    </row>
    <row r="267" spans="1:7" ht="31.5" customHeight="1" x14ac:dyDescent="0.3">
      <c r="B267" s="39"/>
    </row>
    <row r="268" spans="1:7" ht="31.5" customHeight="1" x14ac:dyDescent="0.3">
      <c r="B268" s="39"/>
    </row>
    <row r="269" spans="1:7" ht="31.5" customHeight="1" x14ac:dyDescent="0.3">
      <c r="B269" s="39"/>
    </row>
    <row r="270" spans="1:7" ht="31.5" customHeight="1" x14ac:dyDescent="0.3">
      <c r="B270" s="41"/>
    </row>
    <row r="272" spans="1:7" ht="31.5" customHeight="1" x14ac:dyDescent="0.3">
      <c r="A272" s="47"/>
    </row>
    <row r="273" spans="1:7" ht="31.5" customHeight="1" x14ac:dyDescent="0.3">
      <c r="A273" s="44"/>
      <c r="B273" s="44"/>
      <c r="C273" s="44"/>
      <c r="D273" s="44"/>
      <c r="E273" s="44"/>
      <c r="F273" s="44"/>
    </row>
    <row r="274" spans="1:7" ht="31.5" customHeight="1" x14ac:dyDescent="0.3">
      <c r="A274" s="42"/>
      <c r="B274" s="42"/>
      <c r="C274" s="42"/>
      <c r="D274" s="42"/>
      <c r="E274" s="42"/>
      <c r="F274" s="42"/>
    </row>
    <row r="275" spans="1:7" ht="31.5" customHeight="1" x14ac:dyDescent="0.3">
      <c r="A275" s="42"/>
      <c r="B275" s="42"/>
      <c r="C275" s="42"/>
      <c r="D275" s="42"/>
      <c r="E275" s="42"/>
      <c r="F275" s="42"/>
    </row>
    <row r="276" spans="1:7" ht="31.5" customHeight="1" x14ac:dyDescent="0.3">
      <c r="A276" s="42"/>
      <c r="B276" s="42"/>
      <c r="C276" s="42"/>
      <c r="D276" s="42"/>
      <c r="E276" s="42"/>
      <c r="F276" s="42"/>
    </row>
    <row r="277" spans="1:7" ht="31.5" customHeight="1" x14ac:dyDescent="0.3">
      <c r="A277" s="42"/>
      <c r="B277" s="42"/>
      <c r="C277" s="42"/>
      <c r="D277" s="42"/>
      <c r="E277" s="42"/>
      <c r="F277" s="42"/>
    </row>
    <row r="279" spans="1:7" ht="31.5" customHeight="1" x14ac:dyDescent="0.35">
      <c r="E279" s="67"/>
      <c r="F279" s="45"/>
    </row>
    <row r="280" spans="1:7" ht="31.5" customHeight="1" x14ac:dyDescent="0.3">
      <c r="A280" s="46"/>
    </row>
    <row r="285" spans="1:7" ht="31.5" customHeight="1" x14ac:dyDescent="0.3">
      <c r="A285" s="53"/>
      <c r="C285" s="43"/>
      <c r="F285" s="54"/>
      <c r="G285" s="54"/>
    </row>
    <row r="287" spans="1:7" ht="31.5" customHeight="1" x14ac:dyDescent="0.3">
      <c r="A287" s="38"/>
    </row>
    <row r="288" spans="1:7" ht="31.5" customHeight="1" x14ac:dyDescent="0.3">
      <c r="B288" s="39"/>
    </row>
    <row r="289" spans="1:6" ht="31.5" customHeight="1" x14ac:dyDescent="0.3">
      <c r="B289" s="39"/>
    </row>
    <row r="290" spans="1:6" ht="31.5" customHeight="1" x14ac:dyDescent="0.3">
      <c r="B290" s="39"/>
    </row>
    <row r="291" spans="1:6" ht="31.5" customHeight="1" x14ac:dyDescent="0.3">
      <c r="B291" s="39"/>
    </row>
    <row r="292" spans="1:6" ht="31.5" customHeight="1" x14ac:dyDescent="0.3">
      <c r="B292" s="41"/>
    </row>
    <row r="294" spans="1:6" ht="31.5" customHeight="1" x14ac:dyDescent="0.3">
      <c r="A294" s="47"/>
    </row>
    <row r="295" spans="1:6" ht="31.5" customHeight="1" x14ac:dyDescent="0.3">
      <c r="A295" s="44"/>
      <c r="B295" s="44"/>
      <c r="C295" s="44"/>
      <c r="D295" s="44"/>
      <c r="E295" s="44"/>
      <c r="F295" s="44"/>
    </row>
    <row r="296" spans="1:6" ht="31.5" customHeight="1" x14ac:dyDescent="0.3">
      <c r="A296" s="42"/>
      <c r="B296" s="42"/>
      <c r="C296" s="42"/>
      <c r="D296" s="42"/>
      <c r="E296" s="42"/>
      <c r="F296" s="42"/>
    </row>
    <row r="297" spans="1:6" ht="31.5" customHeight="1" x14ac:dyDescent="0.3">
      <c r="A297" s="42"/>
      <c r="B297" s="42"/>
      <c r="C297" s="42"/>
      <c r="D297" s="42"/>
      <c r="E297" s="42"/>
      <c r="F297" s="42"/>
    </row>
    <row r="298" spans="1:6" ht="31.5" customHeight="1" x14ac:dyDescent="0.3">
      <c r="A298" s="42"/>
      <c r="B298" s="42"/>
      <c r="C298" s="42"/>
      <c r="D298" s="42"/>
    </row>
    <row r="299" spans="1:6" ht="31.5" customHeight="1" x14ac:dyDescent="0.3">
      <c r="A299" s="42"/>
      <c r="B299" s="42"/>
      <c r="C299" s="42"/>
      <c r="D299" s="42"/>
    </row>
    <row r="301" spans="1:6" ht="31.5" customHeight="1" x14ac:dyDescent="0.35">
      <c r="E301" s="67"/>
      <c r="F301" s="45"/>
    </row>
    <row r="302" spans="1:6" ht="31.5" customHeight="1" x14ac:dyDescent="0.3">
      <c r="A302" s="46"/>
    </row>
    <row r="307" spans="1:7" ht="31.5" customHeight="1" x14ac:dyDescent="0.3">
      <c r="A307" s="53"/>
      <c r="C307" s="43"/>
      <c r="F307" s="54"/>
      <c r="G307" s="54"/>
    </row>
  </sheetData>
  <pageMargins left="0.70866141732283472" right="0.70866141732283472" top="0.74803149606299213" bottom="0.74803149606299213" header="0.31496062992125984" footer="0.31496062992125984"/>
  <pageSetup paperSize="9" scale="69" fitToHeight="2" orientation="landscape" r:id="rId1"/>
  <rowBreaks count="14" manualBreakCount="14">
    <brk id="21" max="16383" man="1"/>
    <brk id="43" max="16383" man="1"/>
    <brk id="65" max="16383" man="1"/>
    <brk id="87" max="16383" man="1"/>
    <brk id="109" max="16383" man="1"/>
    <brk id="131" max="16383" man="1"/>
    <brk id="153" max="16383" man="1"/>
    <brk id="175" max="16383" man="1"/>
    <brk id="197" max="16383" man="1"/>
    <brk id="219" max="16383" man="1"/>
    <brk id="241" max="16383" man="1"/>
    <brk id="263" max="16383" man="1"/>
    <brk id="285" max="16383" man="1"/>
    <brk id="307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3"/>
  <sheetViews>
    <sheetView workbookViewId="0">
      <selection activeCell="C6" sqref="C6"/>
    </sheetView>
  </sheetViews>
  <sheetFormatPr defaultRowHeight="14.4" x14ac:dyDescent="0.3"/>
  <cols>
    <col min="1" max="1" width="7.33203125" customWidth="1"/>
    <col min="2" max="2" width="15.5546875" bestFit="1" customWidth="1"/>
    <col min="3" max="8" width="7.33203125" customWidth="1"/>
  </cols>
  <sheetData>
    <row r="1" spans="1:14" ht="35.1" customHeight="1" x14ac:dyDescent="0.3">
      <c r="A1" s="1" t="s">
        <v>1</v>
      </c>
      <c r="B1" s="3">
        <v>44290.521006944444</v>
      </c>
      <c r="D1" s="2"/>
      <c r="F1" s="2"/>
      <c r="H1" s="2"/>
    </row>
    <row r="2" spans="1:14" ht="35.1" customHeight="1" x14ac:dyDescent="0.3">
      <c r="A2" s="2" t="s">
        <v>6</v>
      </c>
      <c r="B2" s="4">
        <v>44290.521099537036</v>
      </c>
      <c r="C2" s="2"/>
      <c r="E2" s="2"/>
      <c r="G2" s="2"/>
    </row>
    <row r="3" spans="1:14" ht="35.1" customHeight="1" x14ac:dyDescent="0.3">
      <c r="A3" t="s">
        <v>9</v>
      </c>
      <c r="B3" s="3">
        <v>44290.521296296298</v>
      </c>
      <c r="D3" s="2"/>
      <c r="F3" s="2"/>
      <c r="H3" s="2"/>
    </row>
    <row r="4" spans="1:14" ht="35.1" customHeight="1" x14ac:dyDescent="0.3">
      <c r="A4" s="2" t="s">
        <v>7</v>
      </c>
      <c r="B4" s="4">
        <v>44290.521180555559</v>
      </c>
      <c r="C4" s="2"/>
      <c r="E4" s="2"/>
      <c r="G4" s="2"/>
    </row>
    <row r="5" spans="1:14" ht="35.1" customHeight="1" x14ac:dyDescent="0.3">
      <c r="A5" t="s">
        <v>8</v>
      </c>
      <c r="B5" s="3">
        <v>44290.521238425928</v>
      </c>
      <c r="D5" s="2"/>
      <c r="F5" s="2"/>
      <c r="H5" s="2"/>
      <c r="I5" t="s">
        <v>2</v>
      </c>
      <c r="J5" t="s">
        <v>4</v>
      </c>
      <c r="N5" t="s">
        <v>2</v>
      </c>
    </row>
    <row r="6" spans="1:14" ht="35.1" customHeight="1" x14ac:dyDescent="0.3">
      <c r="A6" s="2"/>
      <c r="C6" s="2"/>
      <c r="E6" s="2"/>
      <c r="G6" s="2"/>
      <c r="I6" t="s">
        <v>2</v>
      </c>
      <c r="N6" t="s">
        <v>2</v>
      </c>
    </row>
    <row r="7" spans="1:14" ht="35.1" customHeight="1" x14ac:dyDescent="0.3">
      <c r="B7" s="2"/>
      <c r="D7" s="2"/>
      <c r="F7" s="2"/>
      <c r="H7" s="2"/>
    </row>
    <row r="8" spans="1:14" ht="35.1" customHeight="1" x14ac:dyDescent="0.3">
      <c r="A8" s="2"/>
      <c r="C8" s="2"/>
      <c r="E8" s="2"/>
      <c r="G8" s="2"/>
    </row>
    <row r="11" spans="1:14" x14ac:dyDescent="0.3">
      <c r="G11" t="s">
        <v>3</v>
      </c>
    </row>
    <row r="12" spans="1:14" x14ac:dyDescent="0.3">
      <c r="G12" t="s">
        <v>3</v>
      </c>
    </row>
    <row r="13" spans="1:14" x14ac:dyDescent="0.3">
      <c r="G13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80727-B3DD-468A-AE06-815E63582FC5}">
  <sheetPr codeName="Sheet4"/>
  <dimension ref="B3:K22"/>
  <sheetViews>
    <sheetView workbookViewId="0">
      <selection activeCell="B29" sqref="B29"/>
    </sheetView>
  </sheetViews>
  <sheetFormatPr defaultRowHeight="14.4" x14ac:dyDescent="0.3"/>
  <sheetData>
    <row r="3" spans="2:6" x14ac:dyDescent="0.3">
      <c r="B3" s="32">
        <v>15600774</v>
      </c>
      <c r="C3" s="32"/>
      <c r="D3" s="32">
        <v>15600782</v>
      </c>
      <c r="E3" s="32"/>
      <c r="F3" s="32">
        <v>15600790</v>
      </c>
    </row>
    <row r="4" spans="2:6" x14ac:dyDescent="0.3">
      <c r="B4" s="32">
        <v>15600775</v>
      </c>
      <c r="C4" s="32"/>
      <c r="D4" s="32">
        <v>15600783</v>
      </c>
      <c r="E4" s="32"/>
      <c r="F4" s="32">
        <v>15600791</v>
      </c>
    </row>
    <row r="5" spans="2:6" x14ac:dyDescent="0.3">
      <c r="B5" s="32">
        <v>15600776</v>
      </c>
      <c r="C5" s="32"/>
      <c r="D5" s="32">
        <v>15600784</v>
      </c>
      <c r="E5" s="32"/>
      <c r="F5" s="32">
        <v>15600792</v>
      </c>
    </row>
    <row r="6" spans="2:6" x14ac:dyDescent="0.3">
      <c r="B6" s="32">
        <v>15600777</v>
      </c>
      <c r="C6" s="32"/>
      <c r="D6" s="32">
        <v>15600785</v>
      </c>
      <c r="E6" s="32"/>
      <c r="F6" s="32">
        <v>15600793</v>
      </c>
    </row>
    <row r="7" spans="2:6" x14ac:dyDescent="0.3">
      <c r="B7" s="32">
        <v>15600778</v>
      </c>
      <c r="C7" s="32"/>
      <c r="D7" s="32">
        <v>15600786</v>
      </c>
      <c r="E7" s="32"/>
      <c r="F7" s="32">
        <v>15600794</v>
      </c>
    </row>
    <row r="8" spans="2:6" x14ac:dyDescent="0.3">
      <c r="B8" s="32">
        <v>15600779</v>
      </c>
      <c r="C8" s="32"/>
      <c r="D8" s="32">
        <v>15600787</v>
      </c>
      <c r="E8" s="32"/>
      <c r="F8" s="32">
        <v>15600795</v>
      </c>
    </row>
    <row r="9" spans="2:6" x14ac:dyDescent="0.3">
      <c r="B9" s="32">
        <v>15600780</v>
      </c>
      <c r="C9" s="32"/>
      <c r="D9" s="32">
        <v>15600788</v>
      </c>
      <c r="E9" s="90"/>
    </row>
    <row r="10" spans="2:6" x14ac:dyDescent="0.3">
      <c r="B10" s="32">
        <v>15600781</v>
      </c>
      <c r="C10" s="32"/>
      <c r="D10" s="32">
        <v>15600789</v>
      </c>
      <c r="E10" s="90"/>
    </row>
    <row r="22" spans="4:11" ht="18" x14ac:dyDescent="0.3">
      <c r="D22" s="62"/>
      <c r="E22" s="97"/>
      <c r="J22" s="62"/>
      <c r="K22" s="63"/>
    </row>
  </sheetData>
  <dataValidations count="1">
    <dataValidation type="whole" operator="greaterThan" allowBlank="1" showInputMessage="1" showErrorMessage="1" errorTitle="Positive Integer" error="Positive Integer daal de KHAPITAR!!!" promptTitle="Roll No" prompt="Roll Number must be a Positive Integeer" sqref="B3:C3" xr:uid="{5C5D0827-CD58-4951-9F65-178125301B70}">
      <formula1>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DC035-976C-4FBC-9B6F-309FEAF63F84}">
  <sheetPr codeName="Sheet5">
    <pageSetUpPr fitToPage="1"/>
  </sheetPr>
  <dimension ref="A1:D51"/>
  <sheetViews>
    <sheetView zoomScale="40" zoomScaleNormal="40" workbookViewId="0">
      <selection sqref="A1:C11"/>
    </sheetView>
  </sheetViews>
  <sheetFormatPr defaultRowHeight="14.4" x14ac:dyDescent="0.3"/>
  <cols>
    <col min="1" max="1" width="99.5546875" style="10" customWidth="1"/>
    <col min="2" max="2" width="73.109375" style="10" customWidth="1"/>
    <col min="3" max="3" width="70.21875" style="10" customWidth="1"/>
    <col min="4" max="16384" width="8.88671875" style="10"/>
  </cols>
  <sheetData>
    <row r="1" spans="1:4" ht="67.2" customHeight="1" x14ac:dyDescent="0.3">
      <c r="A1" s="100" t="s">
        <v>135</v>
      </c>
      <c r="B1" s="100"/>
      <c r="C1" s="100"/>
    </row>
    <row r="2" spans="1:4" ht="118.8" customHeight="1" x14ac:dyDescent="0.3">
      <c r="A2" s="60" t="s">
        <v>32</v>
      </c>
      <c r="B2" s="99" t="s">
        <v>31</v>
      </c>
      <c r="C2" s="99"/>
    </row>
    <row r="3" spans="1:4" ht="31.2" customHeight="1" x14ac:dyDescent="0.3">
      <c r="A3" s="60" t="s">
        <v>30</v>
      </c>
      <c r="B3" s="71">
        <v>822018</v>
      </c>
      <c r="C3" s="70"/>
    </row>
    <row r="4" spans="1:4" ht="31.2" customHeight="1" x14ac:dyDescent="0.3">
      <c r="A4" s="60" t="s">
        <v>15</v>
      </c>
      <c r="B4" s="61" t="str">
        <f>Sheet1!D13</f>
        <v>Senior Secondary School Examination (Class XII)</v>
      </c>
      <c r="C4" s="70"/>
    </row>
    <row r="5" spans="1:4" ht="174" customHeight="1" x14ac:dyDescent="0.3">
      <c r="A5" s="60" t="s">
        <v>33</v>
      </c>
      <c r="B5" s="101" t="str">
        <f>SubjectNameCode</f>
        <v>030 - ECONOMICS</v>
      </c>
      <c r="C5" s="101"/>
    </row>
    <row r="6" spans="1:4" ht="90.6" x14ac:dyDescent="0.3">
      <c r="A6" s="60" t="s">
        <v>34</v>
      </c>
      <c r="B6" s="87" t="str">
        <f>ExamDate</f>
        <v>15.12.2021</v>
      </c>
      <c r="C6" s="70"/>
    </row>
    <row r="7" spans="1:4" ht="31.2" customHeight="1" x14ac:dyDescent="0.55000000000000004">
      <c r="A7" s="55"/>
      <c r="B7" s="56"/>
      <c r="C7" s="55"/>
    </row>
    <row r="8" spans="1:4" ht="31.2" customHeight="1" x14ac:dyDescent="0.55000000000000004">
      <c r="A8" s="57"/>
      <c r="B8" s="58"/>
      <c r="C8" s="57"/>
    </row>
    <row r="9" spans="1:4" ht="92.4" customHeight="1" x14ac:dyDescent="0.55000000000000004">
      <c r="A9" s="91" t="s">
        <v>43</v>
      </c>
      <c r="B9" s="92" t="s">
        <v>44</v>
      </c>
      <c r="C9" s="93" t="s">
        <v>45</v>
      </c>
      <c r="D9" s="59"/>
    </row>
    <row r="10" spans="1:4" ht="129" customHeight="1" x14ac:dyDescent="0.3">
      <c r="A10" s="94" t="s">
        <v>133</v>
      </c>
      <c r="B10" s="98">
        <v>15600774</v>
      </c>
      <c r="C10" s="98">
        <v>15600784</v>
      </c>
      <c r="D10" s="59"/>
    </row>
    <row r="11" spans="1:4" ht="129" customHeight="1" x14ac:dyDescent="0.3">
      <c r="A11" s="94" t="s">
        <v>134</v>
      </c>
      <c r="B11" s="98">
        <v>15600785</v>
      </c>
      <c r="C11" s="98">
        <v>15600795</v>
      </c>
      <c r="D11" s="59"/>
    </row>
    <row r="12" spans="1:4" ht="66" customHeight="1" x14ac:dyDescent="0.3">
      <c r="A12" s="84"/>
      <c r="B12" s="85"/>
      <c r="C12" s="86"/>
      <c r="D12" s="59"/>
    </row>
    <row r="13" spans="1:4" ht="66" customHeight="1" x14ac:dyDescent="0.3">
      <c r="A13" s="81"/>
      <c r="B13" s="82"/>
      <c r="C13" s="83"/>
      <c r="D13" s="59"/>
    </row>
    <row r="14" spans="1:4" ht="66" customHeight="1" x14ac:dyDescent="0.3">
      <c r="A14" s="69"/>
      <c r="B14" s="68"/>
      <c r="C14" s="68"/>
      <c r="D14" s="59"/>
    </row>
    <row r="15" spans="1:4" ht="66" customHeight="1" x14ac:dyDescent="0.3">
      <c r="A15" s="69"/>
      <c r="B15" s="68"/>
      <c r="C15" s="68"/>
      <c r="D15" s="59"/>
    </row>
    <row r="16" spans="1:4" ht="66" customHeight="1" x14ac:dyDescent="0.3">
      <c r="A16" s="69"/>
      <c r="B16" s="68"/>
      <c r="C16" s="68"/>
      <c r="D16" s="59"/>
    </row>
    <row r="17" spans="1:4" ht="66" customHeight="1" x14ac:dyDescent="0.3">
      <c r="A17" s="66"/>
      <c r="B17" s="64"/>
      <c r="C17" s="64"/>
      <c r="D17" s="59"/>
    </row>
    <row r="18" spans="1:4" ht="66" customHeight="1" x14ac:dyDescent="0.3">
      <c r="A18" s="66"/>
      <c r="B18" s="64"/>
      <c r="C18" s="64"/>
      <c r="D18" s="59"/>
    </row>
    <row r="19" spans="1:4" ht="66" customHeight="1" x14ac:dyDescent="0.3">
      <c r="A19" s="66"/>
      <c r="B19" s="64"/>
      <c r="C19" s="64"/>
      <c r="D19" s="59"/>
    </row>
    <row r="20" spans="1:4" ht="66" customHeight="1" x14ac:dyDescent="0.3">
      <c r="A20" s="66"/>
      <c r="B20" s="64"/>
      <c r="C20" s="64"/>
      <c r="D20" s="59"/>
    </row>
    <row r="21" spans="1:4" ht="66" customHeight="1" x14ac:dyDescent="0.3">
      <c r="A21" s="66"/>
      <c r="B21" s="64"/>
      <c r="C21" s="64"/>
      <c r="D21" s="59"/>
    </row>
    <row r="22" spans="1:4" ht="66" customHeight="1" x14ac:dyDescent="0.3">
      <c r="A22" s="66"/>
      <c r="B22" s="64"/>
      <c r="C22" s="64"/>
      <c r="D22" s="59"/>
    </row>
    <row r="23" spans="1:4" ht="66" customHeight="1" x14ac:dyDescent="0.7">
      <c r="A23" s="66"/>
      <c r="B23" s="65"/>
      <c r="C23" s="65"/>
    </row>
    <row r="24" spans="1:4" ht="31.2" customHeight="1" x14ac:dyDescent="0.3">
      <c r="D24" s="59"/>
    </row>
    <row r="25" spans="1:4" ht="31.2" customHeight="1" x14ac:dyDescent="0.3"/>
    <row r="26" spans="1:4" ht="31.2" customHeight="1" x14ac:dyDescent="0.3"/>
    <row r="27" spans="1:4" ht="31.2" customHeight="1" x14ac:dyDescent="0.3"/>
    <row r="28" spans="1:4" ht="31.2" customHeight="1" x14ac:dyDescent="0.3"/>
    <row r="29" spans="1:4" ht="31.2" customHeight="1" x14ac:dyDescent="0.3"/>
    <row r="30" spans="1:4" ht="31.2" customHeight="1" x14ac:dyDescent="0.3"/>
    <row r="31" spans="1:4" ht="31.2" customHeight="1" x14ac:dyDescent="0.3"/>
    <row r="32" spans="1:4" ht="31.2" customHeight="1" x14ac:dyDescent="0.3"/>
    <row r="33" ht="31.2" customHeight="1" x14ac:dyDescent="0.3"/>
    <row r="34" ht="31.2" customHeight="1" x14ac:dyDescent="0.3"/>
    <row r="35" ht="31.2" customHeight="1" x14ac:dyDescent="0.3"/>
    <row r="36" ht="31.2" customHeight="1" x14ac:dyDescent="0.3"/>
    <row r="37" ht="31.2" customHeight="1" x14ac:dyDescent="0.3"/>
    <row r="38" ht="31.2" customHeight="1" x14ac:dyDescent="0.3"/>
    <row r="39" ht="31.2" customHeight="1" x14ac:dyDescent="0.3"/>
    <row r="40" ht="31.2" customHeight="1" x14ac:dyDescent="0.3"/>
    <row r="41" ht="31.2" customHeight="1" x14ac:dyDescent="0.3"/>
    <row r="42" ht="31.2" customHeight="1" x14ac:dyDescent="0.3"/>
    <row r="43" ht="31.2" customHeight="1" x14ac:dyDescent="0.3"/>
    <row r="44" ht="31.2" customHeight="1" x14ac:dyDescent="0.3"/>
    <row r="45" ht="31.2" customHeight="1" x14ac:dyDescent="0.3"/>
    <row r="46" ht="31.2" customHeight="1" x14ac:dyDescent="0.3"/>
    <row r="47" ht="31.2" customHeight="1" x14ac:dyDescent="0.3"/>
    <row r="48" ht="31.2" customHeight="1" x14ac:dyDescent="0.3"/>
    <row r="49" ht="31.2" customHeight="1" x14ac:dyDescent="0.3"/>
    <row r="50" ht="31.2" customHeight="1" x14ac:dyDescent="0.3"/>
    <row r="51" ht="31.2" customHeight="1" x14ac:dyDescent="0.3"/>
  </sheetData>
  <mergeCells count="3">
    <mergeCell ref="B2:C2"/>
    <mergeCell ref="A1:C1"/>
    <mergeCell ref="B5:C5"/>
  </mergeCells>
  <phoneticPr fontId="13" type="noConversion"/>
  <pageMargins left="1.1023622047244095" right="0.70866141732283472" top="0.74803149606299213" bottom="0.74803149606299213" header="0.31496062992125984" footer="0.31496062992125984"/>
  <pageSetup paperSize="8" scale="4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2DFA7-4204-49B0-8D37-7613BE27171B}">
  <sheetPr codeName="Sheet6"/>
  <dimension ref="A2:D16"/>
  <sheetViews>
    <sheetView workbookViewId="0">
      <selection activeCell="D3" sqref="D3:D10"/>
    </sheetView>
  </sheetViews>
  <sheetFormatPr defaultRowHeight="14.4" x14ac:dyDescent="0.3"/>
  <cols>
    <col min="1" max="3" width="10.44140625" customWidth="1"/>
  </cols>
  <sheetData>
    <row r="2" spans="1:4" x14ac:dyDescent="0.3">
      <c r="A2" t="s">
        <v>67</v>
      </c>
      <c r="B2" t="s">
        <v>68</v>
      </c>
      <c r="C2" t="s">
        <v>69</v>
      </c>
      <c r="D2" t="s">
        <v>73</v>
      </c>
    </row>
    <row r="3" spans="1:4" x14ac:dyDescent="0.3">
      <c r="A3" t="s">
        <v>52</v>
      </c>
      <c r="B3" t="s">
        <v>51</v>
      </c>
      <c r="C3" t="s">
        <v>54</v>
      </c>
      <c r="D3" t="str">
        <f>CONCATENATE(Table1[[#This Row],[Column1]]," - ",Table1[[#This Row],[Column2]]," - ",Table1[[#This Row],[Column3]])</f>
        <v>ROOM 01 - 9A - GROUND FLOOR</v>
      </c>
    </row>
    <row r="4" spans="1:4" x14ac:dyDescent="0.3">
      <c r="A4" t="s">
        <v>53</v>
      </c>
      <c r="B4" t="s">
        <v>50</v>
      </c>
      <c r="C4" t="s">
        <v>54</v>
      </c>
      <c r="D4" t="str">
        <f>CONCATENATE(Table1[[#This Row],[Column1]]," - ",Table1[[#This Row],[Column2]]," - ",Table1[[#This Row],[Column3]])</f>
        <v>ROOM 02 - 9B - GROUND FLOOR</v>
      </c>
    </row>
    <row r="5" spans="1:4" x14ac:dyDescent="0.3">
      <c r="A5" t="s">
        <v>56</v>
      </c>
      <c r="B5" t="s">
        <v>49</v>
      </c>
      <c r="C5" t="s">
        <v>54</v>
      </c>
      <c r="D5" t="str">
        <f>CONCATENATE(Table1[[#This Row],[Column1]]," - ",Table1[[#This Row],[Column2]]," - ",Table1[[#This Row],[Column3]])</f>
        <v>ROOM 03 - 10A - GROUND FLOOR</v>
      </c>
    </row>
    <row r="6" spans="1:4" x14ac:dyDescent="0.3">
      <c r="A6" t="s">
        <v>57</v>
      </c>
      <c r="B6" t="s">
        <v>48</v>
      </c>
      <c r="C6" t="s">
        <v>54</v>
      </c>
      <c r="D6" t="str">
        <f>CONCATENATE(Table1[[#This Row],[Column1]]," - ",Table1[[#This Row],[Column2]]," - ",Table1[[#This Row],[Column3]])</f>
        <v>ROOM 04 - 10B - GROUND FLOOR</v>
      </c>
    </row>
    <row r="7" spans="1:4" x14ac:dyDescent="0.3">
      <c r="A7" t="s">
        <v>58</v>
      </c>
      <c r="B7" t="s">
        <v>47</v>
      </c>
      <c r="C7" t="s">
        <v>54</v>
      </c>
      <c r="D7" t="str">
        <f>CONCATENATE(Table1[[#This Row],[Column1]]," - ",Table1[[#This Row],[Column2]]," - ",Table1[[#This Row],[Column3]])</f>
        <v>ROOM 05 - 11A - GROUND FLOOR</v>
      </c>
    </row>
    <row r="8" spans="1:4" x14ac:dyDescent="0.3">
      <c r="A8" t="s">
        <v>59</v>
      </c>
      <c r="B8" t="s">
        <v>46</v>
      </c>
      <c r="C8" t="s">
        <v>54</v>
      </c>
      <c r="D8" t="str">
        <f>CONCATENATE(Table1[[#This Row],[Column1]]," - ",Table1[[#This Row],[Column2]]," - ",Table1[[#This Row],[Column3]])</f>
        <v>ROOM 06 - 12A - GROUND FLOOR</v>
      </c>
    </row>
    <row r="9" spans="1:4" x14ac:dyDescent="0.3">
      <c r="A9" t="s">
        <v>60</v>
      </c>
      <c r="B9" t="s">
        <v>70</v>
      </c>
      <c r="C9" t="s">
        <v>55</v>
      </c>
      <c r="D9" t="str">
        <f>CONCATENATE(Table1[[#This Row],[Column1]]," - ",Table1[[#This Row],[Column2]]," - ",Table1[[#This Row],[Column3]])</f>
        <v>ROOM 07 - 11B - FIRST FLOOR</v>
      </c>
    </row>
    <row r="10" spans="1:4" x14ac:dyDescent="0.3">
      <c r="A10" t="s">
        <v>61</v>
      </c>
      <c r="B10" t="s">
        <v>71</v>
      </c>
      <c r="C10" t="s">
        <v>55</v>
      </c>
      <c r="D10" t="str">
        <f>CONCATENATE(Table1[[#This Row],[Column1]]," - ",Table1[[#This Row],[Column2]]," - ",Table1[[#This Row],[Column3]])</f>
        <v>ROOM 08 - 12B - FIRST FLOOR</v>
      </c>
    </row>
    <row r="11" spans="1:4" x14ac:dyDescent="0.3">
      <c r="A11" t="s">
        <v>62</v>
      </c>
      <c r="D11" t="str">
        <f>CONCATENATE(Table1[[#This Row],[Column1]]," - ",Table1[[#This Row],[Column2]]," - ",Table1[[#This Row],[Column3]])</f>
        <v xml:space="preserve">ROOM 09 -  - </v>
      </c>
    </row>
    <row r="12" spans="1:4" x14ac:dyDescent="0.3">
      <c r="A12" t="s">
        <v>63</v>
      </c>
      <c r="D12" t="str">
        <f>CONCATENATE(Table1[[#This Row],[Column1]]," - ",Table1[[#This Row],[Column2]]," - ",Table1[[#This Row],[Column3]])</f>
        <v xml:space="preserve">ROOM 10 -  - </v>
      </c>
    </row>
    <row r="13" spans="1:4" x14ac:dyDescent="0.3">
      <c r="A13" t="s">
        <v>64</v>
      </c>
      <c r="D13" t="str">
        <f>CONCATENATE(Table1[[#This Row],[Column1]]," - ",Table1[[#This Row],[Column2]]," - ",Table1[[#This Row],[Column3]])</f>
        <v xml:space="preserve">ROOM 11 -  - </v>
      </c>
    </row>
    <row r="14" spans="1:4" x14ac:dyDescent="0.3">
      <c r="A14" t="s">
        <v>65</v>
      </c>
      <c r="D14" t="str">
        <f>CONCATENATE(Table1[[#This Row],[Column1]]," - ",Table1[[#This Row],[Column2]]," - ",Table1[[#This Row],[Column3]])</f>
        <v xml:space="preserve">ROOM 12 -  - </v>
      </c>
    </row>
    <row r="15" spans="1:4" x14ac:dyDescent="0.3">
      <c r="A15" t="s">
        <v>66</v>
      </c>
      <c r="D15" t="str">
        <f>CONCATENATE(Table1[[#This Row],[Column1]]," - ",Table1[[#This Row],[Column2]]," - ",Table1[[#This Row],[Column3]])</f>
        <v xml:space="preserve">ROOM 13 -  - </v>
      </c>
    </row>
    <row r="16" spans="1:4" x14ac:dyDescent="0.3">
      <c r="A16" t="s">
        <v>72</v>
      </c>
      <c r="D16" t="str">
        <f>CONCATENATE(Table1[[#This Row],[Column1]]," - ",Table1[[#This Row],[Column2]]," - ",Table1[[#This Row],[Column3]])</f>
        <v xml:space="preserve">ROOM 14 -  - 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6DA66-9D7F-47CE-B315-4ABCD465DB5C}">
  <sheetPr>
    <pageSetUpPr fitToPage="1"/>
  </sheetPr>
  <dimension ref="A1:E39"/>
  <sheetViews>
    <sheetView tabSelected="1" topLeftCell="A13" workbookViewId="0">
      <selection activeCell="A19" sqref="A19:D19"/>
    </sheetView>
  </sheetViews>
  <sheetFormatPr defaultRowHeight="14.4" x14ac:dyDescent="0.3"/>
  <cols>
    <col min="1" max="1" width="14.109375" customWidth="1"/>
    <col min="2" max="2" width="54.44140625" customWidth="1"/>
    <col min="3" max="3" width="30.6640625" bestFit="1" customWidth="1"/>
    <col min="4" max="4" width="25.109375" customWidth="1"/>
    <col min="5" max="5" width="22.88671875" customWidth="1"/>
  </cols>
  <sheetData>
    <row r="1" spans="1:5" ht="102.6" x14ac:dyDescent="0.4">
      <c r="A1" s="72" t="s">
        <v>75</v>
      </c>
      <c r="B1" s="72" t="s">
        <v>76</v>
      </c>
      <c r="C1" s="73" t="s">
        <v>77</v>
      </c>
      <c r="D1" s="72" t="s">
        <v>78</v>
      </c>
      <c r="E1" s="72" t="s">
        <v>79</v>
      </c>
    </row>
    <row r="2" spans="1:5" ht="18" x14ac:dyDescent="0.3">
      <c r="A2" s="74">
        <v>1705824</v>
      </c>
      <c r="B2" s="74" t="s">
        <v>80</v>
      </c>
      <c r="C2" s="75" t="s">
        <v>81</v>
      </c>
      <c r="D2" s="75"/>
      <c r="E2" s="75"/>
    </row>
    <row r="3" spans="1:5" ht="18" x14ac:dyDescent="0.3">
      <c r="A3" s="77">
        <v>1460369</v>
      </c>
      <c r="B3" s="74" t="s">
        <v>82</v>
      </c>
      <c r="C3" s="76" t="s">
        <v>83</v>
      </c>
      <c r="D3" s="76"/>
      <c r="E3" s="76"/>
    </row>
    <row r="4" spans="1:5" ht="18" x14ac:dyDescent="0.3">
      <c r="A4" s="74">
        <v>1736081</v>
      </c>
      <c r="B4" s="74" t="s">
        <v>93</v>
      </c>
      <c r="C4" s="75" t="s">
        <v>85</v>
      </c>
      <c r="D4" s="76"/>
      <c r="E4" s="76"/>
    </row>
    <row r="5" spans="1:5" ht="18" x14ac:dyDescent="0.3">
      <c r="A5" s="74">
        <v>1703172</v>
      </c>
      <c r="B5" s="74" t="s">
        <v>115</v>
      </c>
      <c r="C5" s="75" t="s">
        <v>87</v>
      </c>
      <c r="D5" s="75"/>
      <c r="E5" s="75"/>
    </row>
    <row r="6" spans="1:5" ht="18" x14ac:dyDescent="0.3">
      <c r="A6" s="77">
        <v>210968</v>
      </c>
      <c r="B6" s="74" t="s">
        <v>108</v>
      </c>
      <c r="C6" s="75" t="s">
        <v>89</v>
      </c>
      <c r="D6" s="76"/>
      <c r="E6" s="76"/>
    </row>
    <row r="7" spans="1:5" ht="18" x14ac:dyDescent="0.3">
      <c r="A7" s="74">
        <v>1482103</v>
      </c>
      <c r="B7" s="74" t="s">
        <v>95</v>
      </c>
      <c r="C7" s="76" t="s">
        <v>96</v>
      </c>
      <c r="D7" s="76"/>
      <c r="E7" s="76"/>
    </row>
    <row r="8" spans="1:5" ht="18" x14ac:dyDescent="0.3">
      <c r="A8" s="74">
        <v>1510085</v>
      </c>
      <c r="B8" s="74" t="s">
        <v>97</v>
      </c>
      <c r="C8" s="75" t="s">
        <v>98</v>
      </c>
      <c r="D8" s="75"/>
      <c r="E8" s="75"/>
    </row>
    <row r="9" spans="1:5" ht="18" x14ac:dyDescent="0.3">
      <c r="A9" s="77">
        <v>1734129</v>
      </c>
      <c r="B9" s="74" t="s">
        <v>99</v>
      </c>
      <c r="C9" s="76" t="s">
        <v>100</v>
      </c>
      <c r="D9" s="76"/>
      <c r="E9" s="76"/>
    </row>
    <row r="10" spans="1:5" ht="18" x14ac:dyDescent="0.3">
      <c r="A10" s="74">
        <v>1733621</v>
      </c>
      <c r="B10" s="74" t="s">
        <v>101</v>
      </c>
      <c r="C10" s="75" t="s">
        <v>100</v>
      </c>
      <c r="D10" s="75"/>
      <c r="E10" s="75"/>
    </row>
    <row r="11" spans="1:5" ht="18" x14ac:dyDescent="0.3">
      <c r="A11" s="74">
        <v>1705407</v>
      </c>
      <c r="B11" s="74" t="s">
        <v>103</v>
      </c>
      <c r="C11" s="75"/>
      <c r="D11" s="75"/>
      <c r="E11" s="75" t="s">
        <v>104</v>
      </c>
    </row>
    <row r="12" spans="1:5" ht="18" x14ac:dyDescent="0.3">
      <c r="A12" s="77">
        <v>1719806</v>
      </c>
      <c r="B12" s="74" t="s">
        <v>105</v>
      </c>
      <c r="C12" s="76"/>
      <c r="D12" s="76"/>
      <c r="E12" s="76" t="s">
        <v>136</v>
      </c>
    </row>
    <row r="13" spans="1:5" ht="18" x14ac:dyDescent="0.3">
      <c r="A13" s="74">
        <v>1391551</v>
      </c>
      <c r="B13" s="74" t="s">
        <v>107</v>
      </c>
      <c r="C13" s="75"/>
      <c r="D13" s="75"/>
      <c r="E13" s="76" t="s">
        <v>106</v>
      </c>
    </row>
    <row r="14" spans="1:5" ht="18" x14ac:dyDescent="0.3">
      <c r="A14" s="78">
        <v>1720031</v>
      </c>
      <c r="B14" s="74" t="s">
        <v>109</v>
      </c>
      <c r="C14" s="75"/>
      <c r="D14" s="75"/>
      <c r="E14" s="75"/>
    </row>
    <row r="15" spans="1:5" ht="18" x14ac:dyDescent="0.3">
      <c r="A15" s="74">
        <v>1709600</v>
      </c>
      <c r="B15" s="74" t="s">
        <v>110</v>
      </c>
      <c r="C15" s="76"/>
      <c r="D15" s="76"/>
      <c r="E15" s="76"/>
    </row>
    <row r="16" spans="1:5" ht="18" x14ac:dyDescent="0.3">
      <c r="A16" s="74">
        <v>193414</v>
      </c>
      <c r="B16" s="74" t="s">
        <v>111</v>
      </c>
      <c r="C16" s="75"/>
      <c r="D16" s="75"/>
      <c r="E16" s="75"/>
    </row>
    <row r="17" spans="1:5" ht="18" x14ac:dyDescent="0.3">
      <c r="A17" s="74">
        <v>193406</v>
      </c>
      <c r="B17" s="74" t="s">
        <v>112</v>
      </c>
      <c r="C17" s="76"/>
      <c r="D17" s="76"/>
      <c r="E17" s="76"/>
    </row>
    <row r="18" spans="1:5" ht="18" x14ac:dyDescent="0.3">
      <c r="A18" s="74">
        <v>193415</v>
      </c>
      <c r="B18" s="74" t="s">
        <v>113</v>
      </c>
      <c r="C18" s="75"/>
      <c r="D18" s="75"/>
      <c r="E18" s="75"/>
    </row>
    <row r="19" spans="1:5" ht="18" x14ac:dyDescent="0.3">
      <c r="A19" s="74">
        <v>1705341</v>
      </c>
      <c r="B19" s="74" t="s">
        <v>114</v>
      </c>
      <c r="C19" s="76"/>
      <c r="D19" s="76"/>
      <c r="E19" s="76"/>
    </row>
    <row r="20" spans="1:5" ht="18" x14ac:dyDescent="0.3">
      <c r="A20" s="78">
        <v>1746907</v>
      </c>
      <c r="B20" s="74" t="s">
        <v>84</v>
      </c>
      <c r="C20" s="75"/>
      <c r="D20" s="75"/>
      <c r="E20" s="75"/>
    </row>
    <row r="21" spans="1:5" ht="18" x14ac:dyDescent="0.3">
      <c r="A21" s="74">
        <v>1503543</v>
      </c>
      <c r="B21" s="74" t="s">
        <v>123</v>
      </c>
      <c r="C21" s="75"/>
      <c r="D21" s="75" t="s">
        <v>124</v>
      </c>
      <c r="E21" s="75"/>
    </row>
    <row r="22" spans="1:5" ht="18" x14ac:dyDescent="0.3">
      <c r="A22" s="77">
        <v>1703558</v>
      </c>
      <c r="B22" s="74" t="s">
        <v>125</v>
      </c>
      <c r="C22" s="76"/>
      <c r="D22" s="76" t="s">
        <v>126</v>
      </c>
      <c r="E22" s="76"/>
    </row>
    <row r="23" spans="1:5" ht="18" x14ac:dyDescent="0.3">
      <c r="A23" s="78">
        <v>1707256</v>
      </c>
      <c r="B23" s="74" t="s">
        <v>88</v>
      </c>
      <c r="C23" s="75"/>
      <c r="D23" s="75"/>
      <c r="E23" s="75"/>
    </row>
    <row r="24" spans="1:5" ht="18" x14ac:dyDescent="0.3">
      <c r="A24" s="78">
        <v>1703247</v>
      </c>
      <c r="B24" s="74" t="s">
        <v>127</v>
      </c>
      <c r="C24" s="75"/>
      <c r="D24" s="75"/>
      <c r="E24" s="75"/>
    </row>
    <row r="25" spans="1:5" ht="18" x14ac:dyDescent="0.3">
      <c r="A25" s="77">
        <v>1702897</v>
      </c>
      <c r="B25" s="74" t="s">
        <v>86</v>
      </c>
      <c r="C25" s="76"/>
      <c r="D25" s="76"/>
      <c r="E25" s="76"/>
    </row>
    <row r="26" spans="1:5" ht="18" x14ac:dyDescent="0.3">
      <c r="A26" s="74">
        <v>1730898</v>
      </c>
      <c r="B26" s="74" t="s">
        <v>91</v>
      </c>
      <c r="C26" s="76"/>
      <c r="D26" s="76" t="s">
        <v>90</v>
      </c>
      <c r="E26" s="76"/>
    </row>
    <row r="27" spans="1:5" ht="18" x14ac:dyDescent="0.3">
      <c r="A27" s="78">
        <v>1703454</v>
      </c>
      <c r="B27" s="74" t="s">
        <v>92</v>
      </c>
      <c r="C27" s="75"/>
      <c r="D27" s="75"/>
      <c r="E27" s="75"/>
    </row>
    <row r="28" spans="1:5" ht="18" x14ac:dyDescent="0.3">
      <c r="A28" s="78">
        <v>1705368</v>
      </c>
      <c r="B28" s="74" t="s">
        <v>94</v>
      </c>
      <c r="C28" s="75"/>
      <c r="D28" s="75"/>
      <c r="E28" s="75"/>
    </row>
    <row r="29" spans="1:5" ht="18" x14ac:dyDescent="0.3">
      <c r="A29" s="74">
        <v>1703383</v>
      </c>
      <c r="B29" s="74" t="s">
        <v>102</v>
      </c>
      <c r="C29" s="76"/>
      <c r="D29" s="76"/>
      <c r="E29" s="76"/>
    </row>
    <row r="30" spans="1:5" ht="18" x14ac:dyDescent="0.3">
      <c r="A30" s="74">
        <v>1703498</v>
      </c>
      <c r="B30" s="74" t="s">
        <v>116</v>
      </c>
      <c r="C30" s="76"/>
      <c r="D30" s="76"/>
      <c r="E30" s="76"/>
    </row>
    <row r="31" spans="1:5" ht="18" x14ac:dyDescent="0.3">
      <c r="A31" s="74">
        <v>1707350</v>
      </c>
      <c r="B31" s="74" t="s">
        <v>117</v>
      </c>
      <c r="C31" s="75"/>
      <c r="D31" s="75"/>
      <c r="E31" s="75"/>
    </row>
    <row r="32" spans="1:5" ht="18" x14ac:dyDescent="0.3">
      <c r="A32" s="77">
        <v>1730929</v>
      </c>
      <c r="B32" s="74" t="s">
        <v>118</v>
      </c>
      <c r="C32" s="76"/>
      <c r="D32" s="76"/>
      <c r="E32" s="76"/>
    </row>
    <row r="33" spans="1:5" ht="18" x14ac:dyDescent="0.3">
      <c r="A33" s="78">
        <v>1709740</v>
      </c>
      <c r="B33" s="74" t="s">
        <v>119</v>
      </c>
      <c r="C33" s="75"/>
      <c r="D33" s="75"/>
      <c r="E33" s="75"/>
    </row>
    <row r="34" spans="1:5" ht="18" x14ac:dyDescent="0.3">
      <c r="A34" s="77">
        <v>1709254</v>
      </c>
      <c r="B34" s="74" t="s">
        <v>120</v>
      </c>
      <c r="C34" s="76"/>
      <c r="D34" s="76"/>
      <c r="E34" s="76"/>
    </row>
    <row r="35" spans="1:5" ht="18" x14ac:dyDescent="0.3">
      <c r="A35" s="78">
        <v>1736043</v>
      </c>
      <c r="B35" s="74" t="s">
        <v>121</v>
      </c>
      <c r="C35" s="75"/>
      <c r="D35" s="75"/>
      <c r="E35" s="75"/>
    </row>
    <row r="36" spans="1:5" ht="18" x14ac:dyDescent="0.3">
      <c r="A36" s="74">
        <v>1710956</v>
      </c>
      <c r="B36" s="74" t="s">
        <v>122</v>
      </c>
      <c r="C36" s="76"/>
      <c r="D36" s="76"/>
      <c r="E36" s="76"/>
    </row>
    <row r="37" spans="1:5" ht="18" x14ac:dyDescent="0.3">
      <c r="A37" s="74">
        <v>1719961</v>
      </c>
      <c r="B37" s="74" t="s">
        <v>128</v>
      </c>
      <c r="C37" s="76"/>
      <c r="D37" s="76"/>
      <c r="E37" s="76"/>
    </row>
    <row r="38" spans="1:5" ht="18" x14ac:dyDescent="0.3">
      <c r="A38" s="78">
        <v>1482414</v>
      </c>
      <c r="B38" s="74" t="s">
        <v>129</v>
      </c>
      <c r="C38" s="75"/>
      <c r="D38" s="75"/>
      <c r="E38" s="75"/>
    </row>
    <row r="39" spans="1:5" ht="18" x14ac:dyDescent="0.3">
      <c r="A39" s="79">
        <v>720191</v>
      </c>
      <c r="B39" s="74" t="s">
        <v>130</v>
      </c>
      <c r="C39" s="76"/>
      <c r="D39" s="76"/>
      <c r="E39" s="76"/>
    </row>
  </sheetData>
  <pageMargins left="0.7" right="0.7" top="0.75" bottom="0.75" header="0.3" footer="0.3"/>
  <pageSetup paperSize="9" scale="61" orientation="landscape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002B-45C8-4D0F-8A0C-2D567A30086C}">
  <dimension ref="C3:K14"/>
  <sheetViews>
    <sheetView workbookViewId="0">
      <selection activeCell="B2" sqref="B2"/>
    </sheetView>
  </sheetViews>
  <sheetFormatPr defaultRowHeight="14.4" x14ac:dyDescent="0.3"/>
  <cols>
    <col min="1" max="16384" width="8.88671875" style="96"/>
  </cols>
  <sheetData>
    <row r="3" spans="3:11" x14ac:dyDescent="0.3">
      <c r="C3" s="95"/>
      <c r="D3" s="95"/>
      <c r="E3" s="95"/>
      <c r="F3" s="95"/>
      <c r="G3" s="95"/>
      <c r="H3" s="95"/>
      <c r="I3" s="95"/>
      <c r="J3" s="95"/>
      <c r="K3" s="95"/>
    </row>
    <row r="4" spans="3:11" x14ac:dyDescent="0.3">
      <c r="C4" s="95"/>
      <c r="D4" s="95"/>
      <c r="E4" s="95"/>
      <c r="F4" s="95"/>
      <c r="G4" s="95"/>
      <c r="H4" s="95"/>
      <c r="I4" s="95"/>
      <c r="J4" s="95"/>
      <c r="K4" s="95"/>
    </row>
    <row r="5" spans="3:11" x14ac:dyDescent="0.3">
      <c r="C5" s="95"/>
      <c r="D5" s="95"/>
      <c r="E5" s="95"/>
      <c r="F5" s="95"/>
      <c r="G5" s="95"/>
      <c r="H5" s="95"/>
      <c r="I5" s="95"/>
      <c r="J5" s="95"/>
    </row>
    <row r="8" spans="3:11" x14ac:dyDescent="0.3">
      <c r="E8" s="95"/>
      <c r="F8" s="95"/>
      <c r="G8" s="95"/>
      <c r="H8" s="95"/>
      <c r="I8" s="95"/>
    </row>
    <row r="9" spans="3:11" x14ac:dyDescent="0.3">
      <c r="E9" s="95"/>
      <c r="F9" s="95"/>
      <c r="G9" s="95"/>
      <c r="H9" s="95"/>
      <c r="I9" s="95"/>
    </row>
    <row r="10" spans="3:11" x14ac:dyDescent="0.3">
      <c r="E10" s="95"/>
      <c r="F10" s="95"/>
      <c r="G10" s="95"/>
      <c r="H10" s="95"/>
      <c r="I10" s="95"/>
    </row>
    <row r="11" spans="3:11" x14ac:dyDescent="0.3">
      <c r="E11" s="95"/>
      <c r="F11" s="95"/>
      <c r="G11" s="95"/>
      <c r="H11" s="95"/>
      <c r="I11" s="95"/>
    </row>
    <row r="12" spans="3:11" x14ac:dyDescent="0.3">
      <c r="E12" s="95"/>
      <c r="F12" s="95"/>
      <c r="G12" s="95"/>
      <c r="H12" s="95"/>
      <c r="I12" s="95"/>
    </row>
    <row r="13" spans="3:11" x14ac:dyDescent="0.3">
      <c r="E13" s="95"/>
      <c r="F13" s="95"/>
      <c r="G13" s="95"/>
      <c r="H13" s="95"/>
      <c r="I13" s="95"/>
    </row>
    <row r="14" spans="3:11" x14ac:dyDescent="0.3">
      <c r="E14" s="95"/>
      <c r="F14" s="95"/>
      <c r="G14" s="95"/>
      <c r="H14" s="95"/>
    </row>
  </sheetData>
  <dataValidations count="1">
    <dataValidation type="whole" operator="greaterThan" allowBlank="1" showInputMessage="1" showErrorMessage="1" errorTitle="Positive Integer" error="Positive Integer daal de KHAPITAR!!!" promptTitle="Roll No" prompt="Roll Number must be a Positive Integeer" sqref="C3 E8:F8" xr:uid="{B4695648-8C81-40FC-BC27-81CB84925EB4}">
      <formula1>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Sheet1</vt:lpstr>
      <vt:lpstr>Sheet2</vt:lpstr>
      <vt:lpstr>Sheet3</vt:lpstr>
      <vt:lpstr>Sheet5</vt:lpstr>
      <vt:lpstr>Sheet4</vt:lpstr>
      <vt:lpstr>Sheet6</vt:lpstr>
      <vt:lpstr>Sheet7</vt:lpstr>
      <vt:lpstr>Sheet8</vt:lpstr>
      <vt:lpstr>CentreNo</vt:lpstr>
      <vt:lpstr>ExamDate</vt:lpstr>
      <vt:lpstr>Heading</vt:lpstr>
      <vt:lpstr>SubjectNameCode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Anusha;Janendra</dc:creator>
  <cp:lastModifiedBy>acer</cp:lastModifiedBy>
  <cp:lastPrinted>2021-12-14T07:18:13Z</cp:lastPrinted>
  <dcterms:created xsi:type="dcterms:W3CDTF">2021-04-03T17:20:17Z</dcterms:created>
  <dcterms:modified xsi:type="dcterms:W3CDTF">2021-12-15T03:57:29Z</dcterms:modified>
</cp:coreProperties>
</file>