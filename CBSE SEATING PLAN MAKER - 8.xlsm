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ownloads\CBSE\"/>
    </mc:Choice>
  </mc:AlternateContent>
  <xr:revisionPtr revIDLastSave="0" documentId="13_ncr:1_{EAF0D151-981A-4EDA-8E75-3757DC949811}" xr6:coauthVersionLast="36" xr6:coauthVersionMax="45" xr10:uidLastSave="{00000000-0000-0000-0000-000000000000}"/>
  <bookViews>
    <workbookView xWindow="-120" yWindow="-120" windowWidth="20736" windowHeight="11316" activeTab="1" xr2:uid="{00000000-000D-0000-FFFF-FFFF00000000}"/>
  </bookViews>
  <sheets>
    <sheet name="Sheet1" sheetId="1" r:id="rId1"/>
    <sheet name="Sheet2" sheetId="2" r:id="rId2"/>
    <sheet name="Sheet3" sheetId="3" r:id="rId3"/>
    <sheet name="Rooms_Plan" sheetId="4" r:id="rId4"/>
    <sheet name="Sheet4" sheetId="5" r:id="rId5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2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H2" i="1" l="1"/>
  <c r="A2" i="1" l="1"/>
  <c r="F6" i="1" s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Default Value is zero. Input a whole number</t>
        </r>
      </text>
    </comment>
  </commentList>
</comments>
</file>

<file path=xl/sharedStrings.xml><?xml version="1.0" encoding="utf-8"?>
<sst xmlns="http://schemas.openxmlformats.org/spreadsheetml/2006/main" count="421" uniqueCount="107">
  <si>
    <t>Available Rooms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</si>
  <si>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</si>
  <si>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</si>
  <si>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</si>
  <si>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</si>
  <si>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</si>
  <si>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</si>
  <si>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</si>
  <si>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</si>
  <si>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</si>
  <si>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</si>
  <si>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</si>
  <si>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Exams taking classes</t>
  </si>
  <si>
    <t>Class room status</t>
  </si>
  <si>
    <t>School Name</t>
  </si>
  <si>
    <t>EXAM NAME</t>
  </si>
  <si>
    <t>First Roll No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</si>
  <si>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</si>
  <si>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</si>
  <si>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</si>
  <si>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</si>
  <si>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</si>
  <si>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</si>
  <si>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</si>
  <si>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</si>
  <si>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Class 12A</t>
  </si>
  <si>
    <t>NCC ROOM</t>
  </si>
  <si>
    <t>EXAM DATE</t>
  </si>
  <si>
    <t>SUBJECT NAME &amp; CODE</t>
  </si>
  <si>
    <t>NAME LIST</t>
  </si>
  <si>
    <t>HEADING</t>
  </si>
  <si>
    <t>SEATING PLAN FOR CBSE EXAM - 2021</t>
  </si>
  <si>
    <t>CENTRE NO.</t>
  </si>
  <si>
    <t>822018 - KENDRIYA VIDYALAYA MIRC AHMEDNAGAR MR</t>
  </si>
  <si>
    <t>Secondary School Examination (Class X)</t>
  </si>
  <si>
    <t>CENTRE NAME</t>
  </si>
  <si>
    <t>SUBJECT</t>
  </si>
  <si>
    <t>DATE</t>
  </si>
  <si>
    <t>Roll No</t>
  </si>
  <si>
    <t>QP. Code</t>
  </si>
  <si>
    <t>Total No. Students</t>
  </si>
  <si>
    <t>Present</t>
  </si>
  <si>
    <t>Absent</t>
  </si>
  <si>
    <t>Room No 01</t>
  </si>
  <si>
    <t>Room No 02</t>
  </si>
  <si>
    <t>Room No 03</t>
  </si>
  <si>
    <t>Room No 04</t>
  </si>
  <si>
    <t>Room No 05</t>
  </si>
  <si>
    <t>Room No 06</t>
  </si>
  <si>
    <t>Room No 07</t>
  </si>
  <si>
    <t>Room No 08</t>
  </si>
  <si>
    <t>Room No 09</t>
  </si>
  <si>
    <t>Room No 10</t>
  </si>
  <si>
    <t>Room No 11</t>
  </si>
  <si>
    <t>Room No 12</t>
  </si>
  <si>
    <t>Room No 13</t>
  </si>
  <si>
    <t>Room No 14</t>
  </si>
  <si>
    <t>Room No 15</t>
  </si>
  <si>
    <t>Room No 16</t>
  </si>
  <si>
    <t>Room No 17</t>
  </si>
  <si>
    <t>Room No 18</t>
  </si>
  <si>
    <t>Room No 19</t>
  </si>
  <si>
    <t>Room No 20</t>
  </si>
  <si>
    <t>Room No 21</t>
  </si>
  <si>
    <t>Room No 22</t>
  </si>
  <si>
    <t>Room No 23</t>
  </si>
  <si>
    <t>Room No 24</t>
  </si>
  <si>
    <t>Room No 25</t>
  </si>
  <si>
    <t>Room No 26</t>
  </si>
  <si>
    <t>Room No 27</t>
  </si>
  <si>
    <t>Room No 28</t>
  </si>
  <si>
    <t>Room No 29</t>
  </si>
  <si>
    <t>Room No 30</t>
  </si>
  <si>
    <t>CLASS 11A</t>
  </si>
  <si>
    <t>CLASS 10B</t>
  </si>
  <si>
    <t>CLASS 10A</t>
  </si>
  <si>
    <t>CLASS 9B</t>
  </si>
  <si>
    <t>CLASS 9A</t>
  </si>
  <si>
    <t>CLASS 6A</t>
  </si>
  <si>
    <t>CLASS 6B</t>
  </si>
  <si>
    <t>CLASS 7A</t>
  </si>
  <si>
    <t>CLASS 7B</t>
  </si>
  <si>
    <t>CLASS 8A</t>
  </si>
  <si>
    <t>CLASS 8B</t>
  </si>
  <si>
    <t>CLASS 11B</t>
  </si>
  <si>
    <t>CLASS 12B</t>
  </si>
  <si>
    <t>GROUND FLOOR</t>
  </si>
  <si>
    <t>FIRST FLOOR</t>
  </si>
  <si>
    <t>087 - SOCIAL SCIENCE</t>
  </si>
  <si>
    <t>Room No 01 - Class 12A - GROUND FLOOR</t>
  </si>
  <si>
    <t>Room No 02 - CLASS 11A - GROUND FLOOR</t>
  </si>
  <si>
    <t>Room No 03 - CLASS 10B - GROUND FLOOR</t>
  </si>
  <si>
    <t>Room No 04 - CLASS 10A - GROUND FLOOR</t>
  </si>
  <si>
    <t>Room No 05 - CLASS 9B - GROUND FLOOR</t>
  </si>
  <si>
    <t>Room No 06 - CLASS 9A - GROUND FLOOR</t>
  </si>
  <si>
    <t>Room No 07 - CLASS 6A - FIRST FLOOR</t>
  </si>
  <si>
    <t>Room No 08 - CLASS 6B - FIRST FLOOR</t>
  </si>
  <si>
    <t>Room No 09 - CLASS 7A - FIRST FLOOR</t>
  </si>
  <si>
    <t>Room No 10 - CLASS 7B - FIRST FLOOR</t>
  </si>
  <si>
    <t>Room No 11 - CLASS 8A - FIRST FLOOR</t>
  </si>
  <si>
    <t>Room No 12 - CLASS 8B - FIRST FLOOR</t>
  </si>
  <si>
    <t>Room No 13 - CLASS 11B - FIRST FLOOR</t>
  </si>
  <si>
    <t>Room No 14 - CLASS 12B - FIRST FLOOR</t>
  </si>
  <si>
    <t>Room No 15 - NCC ROOM - FIRST FLOOR</t>
  </si>
  <si>
    <t>Signature of Centre Superintendent (TeachID: 1705824)</t>
  </si>
  <si>
    <t>Name, TeachID &amp; Signature of _x000D_
Asstt. Superintendent</t>
  </si>
  <si>
    <t>Signature of Observer (TeachID: 1510085)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</si>
</sst>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  <xf numFmtId="0" fontId="0" fillId="4" borderId="17" xfId="0" applyFill="1" applyBorder="1" applyProtection="1">
      <protection locked="0"/>
    </xf>
    <xf numFmtId="0" fontId="4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14" fontId="6" fillId="0" borderId="0" xfId="0" applyNumberFormat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164" fontId="10" fillId="0" borderId="0" xfId="0" applyNumberFormat="1" applyFont="1" applyBorder="1" applyAlignment="1">
      <alignment vertical="center"/>
    </xf>
    <xf numFmtId="15" fontId="10" fillId="0" borderId="0" xfId="0" applyNumberFormat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right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8</xdr:row>
          <xdr:rowOff>274320</xdr:rowOff>
        </xdr:from>
        <xdr:to>
          <xdr:col>11</xdr:col>
          <xdr:colOff>594360</xdr:colOff>
          <xdr:row>9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8"/>
  <sheetViews>
    <sheetView workbookViewId="0">
      <selection activeCell="A3" sqref="A3:A17"/>
    </sheetView>
  </sheetViews>
  <sheetFormatPr defaultRowHeight="14.4" x14ac:dyDescent="0.3"/>
  <cols>
    <col min="1" max="1" width="15.88671875" bestFit="1" customWidth="1"/>
    <col min="3" max="3" width="23.5546875" style="8" customWidth="1"/>
    <col min="4" max="4" width="16.88671875" customWidth="1"/>
    <col min="5" max="5" width="18" customWidth="1"/>
    <col min="8" max="8" width="9.109375" style="33"/>
  </cols>
  <sheetData>
    <row r="1" spans="1:37" s="5" customFormat="1" ht="15" thickBot="1" x14ac:dyDescent="0.35">
      <c r="A1" s="6" t="s">
        <v>0</v>
      </c>
      <c r="B1"/>
      <c r="C1" s="8"/>
      <c r="D1"/>
      <c r="E1"/>
      <c r="F1"/>
      <c r="G1"/>
      <c r="H1" s="13" t="s">
        <v>29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</row>
    <row r="2" spans="1:37" s="7" customFormat="1" ht="15" thickBot="1" x14ac:dyDescent="0.35">
      <c r="A2" s="7">
        <f>COUNTA(A3:A60)</f>
        <v>15</v>
      </c>
      <c r="B2"/>
      <c r="C2" s="8"/>
      <c r="D2"/>
      <c r="E2"/>
      <c r="F2"/>
      <c r="G2" t="s">
        <v>21</v>
      </c>
      <c r="H2" s="7">
        <f>COUNTA(H3:H1048576)</f>
        <v>166</v>
      </c>
      <c r="I2" s="7" t="str">
        <f t="shared" ref="I2:AK2" si="0">IF(I3="","",I4-I3+1)</f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37" x14ac:dyDescent="0.3">
      <c r="A3" s="11" t="s">
        <v>89</v>
      </c>
      <c r="C3" s="22" t="s">
        <v>10</v>
      </c>
      <c r="D3" s="17">
        <v>4</v>
      </c>
      <c r="G3" t="s">
        <v>16</v>
      </c>
      <c r="H3" s="32">
        <v>15102273</v>
      </c>
      <c r="I3" s="3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ht="15" thickBot="1" x14ac:dyDescent="0.35">
      <c r="A4" s="11" t="s">
        <v>90</v>
      </c>
      <c r="C4" s="23" t="s">
        <v>11</v>
      </c>
      <c r="D4" s="18">
        <v>3</v>
      </c>
      <c r="E4" s="10"/>
      <c r="F4" s="10"/>
      <c r="H4" s="32">
        <v>15102274</v>
      </c>
      <c r="I4" s="3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ht="30" customHeight="1" x14ac:dyDescent="0.3">
      <c r="A5" s="11" t="s">
        <v>91</v>
      </c>
      <c r="C5" s="24" t="s">
        <v>18</v>
      </c>
      <c r="D5" s="19">
        <f>D3*D4</f>
        <v>12</v>
      </c>
      <c r="E5" s="26" t="s">
        <v>19</v>
      </c>
      <c r="F5" s="12">
        <v>0</v>
      </c>
      <c r="H5" s="32">
        <v>15102275</v>
      </c>
    </row>
    <row r="6" spans="1:37" ht="30" customHeight="1" x14ac:dyDescent="0.3">
      <c r="A6" s="11" t="s">
        <v>92</v>
      </c>
      <c r="C6" s="24" t="s">
        <v>23</v>
      </c>
      <c r="D6" s="19">
        <f>A2*D5</f>
        <v>180</v>
      </c>
      <c r="E6" s="27" t="s">
        <v>24</v>
      </c>
      <c r="F6" s="14">
        <f>F5*A2</f>
        <v>0</v>
      </c>
      <c r="H6" s="32">
        <v>15102276</v>
      </c>
    </row>
    <row r="7" spans="1:37" ht="30" customHeight="1" x14ac:dyDescent="0.3">
      <c r="A7" s="11" t="s">
        <v>93</v>
      </c>
      <c r="C7" s="24" t="s">
        <v>12</v>
      </c>
      <c r="D7" s="19">
        <f>COUNTA(H3:AK3)</f>
        <v>1</v>
      </c>
      <c r="E7" s="28"/>
      <c r="F7" s="15"/>
      <c r="H7" s="32">
        <v>15102277</v>
      </c>
    </row>
    <row r="8" spans="1:37" ht="30" customHeight="1" x14ac:dyDescent="0.3">
      <c r="A8" s="11" t="s">
        <v>94</v>
      </c>
      <c r="C8" s="24" t="s">
        <v>17</v>
      </c>
      <c r="D8" s="19">
        <f>SUM(H2:AK2)</f>
        <v>166</v>
      </c>
      <c r="E8" s="29"/>
      <c r="F8" s="14"/>
      <c r="H8" s="32">
        <v>15102278</v>
      </c>
    </row>
    <row r="9" spans="1:37" ht="30" customHeight="1" thickBot="1" x14ac:dyDescent="0.35">
      <c r="A9" s="11" t="s">
        <v>95</v>
      </c>
      <c r="C9" s="24" t="s">
        <v>13</v>
      </c>
      <c r="D9" s="20" t="str">
        <f>IF(D8/D5 &lt;A2,"Sufficient rooms available","Not Sufficient")</f>
        <v>Sufficient rooms available</v>
      </c>
      <c r="E9" s="30" t="s">
        <v>20</v>
      </c>
      <c r="F9" s="16" t="str">
        <f>IF(F5=0,"NO LIMIT per class",IF(F6&gt;=D8,"Sufficient rooms available","Not Sufficient"))</f>
        <v>NO LIMIT per class</v>
      </c>
      <c r="H9" s="32">
        <v>15102279</v>
      </c>
      <c r="J9" s="9"/>
    </row>
    <row r="10" spans="1:37" ht="30" customHeight="1" x14ac:dyDescent="0.3">
      <c r="A10" s="11" t="s">
        <v>96</v>
      </c>
      <c r="C10" s="24" t="s">
        <v>22</v>
      </c>
      <c r="D10" s="19">
        <f>IF(F5=0,ROUNDUP(D8/D5,0),ROUNDUP(D8/F5,0))</f>
        <v>14</v>
      </c>
      <c r="H10" s="32">
        <v>15102280</v>
      </c>
    </row>
    <row r="11" spans="1:37" x14ac:dyDescent="0.3">
      <c r="A11" s="11" t="s">
        <v>97</v>
      </c>
      <c r="H11" s="32">
        <v>15102281</v>
      </c>
    </row>
    <row r="12" spans="1:37" x14ac:dyDescent="0.3">
      <c r="A12" s="11" t="s">
        <v>98</v>
      </c>
      <c r="C12" s="25" t="s">
        <v>14</v>
      </c>
      <c r="D12" s="21" t="s">
        <v>33</v>
      </c>
      <c r="H12" s="32">
        <v>15102282</v>
      </c>
    </row>
    <row r="13" spans="1:37" x14ac:dyDescent="0.3">
      <c r="A13" s="11" t="s">
        <v>99</v>
      </c>
      <c r="C13" s="25" t="s">
        <v>15</v>
      </c>
      <c r="D13" s="21" t="s">
        <v>34</v>
      </c>
      <c r="H13" s="32">
        <v>15102283</v>
      </c>
    </row>
    <row r="14" spans="1:37" x14ac:dyDescent="0.3">
      <c r="A14" s="11" t="s">
        <v>100</v>
      </c>
      <c r="C14" s="25" t="s">
        <v>30</v>
      </c>
      <c r="D14" s="21" t="s">
        <v>31</v>
      </c>
      <c r="H14" s="32">
        <v>15102284</v>
      </c>
    </row>
    <row r="15" spans="1:37" x14ac:dyDescent="0.3">
      <c r="A15" s="11" t="s">
        <v>101</v>
      </c>
      <c r="C15" s="25" t="s">
        <v>32</v>
      </c>
      <c r="D15" s="21">
        <v>822018</v>
      </c>
      <c r="H15" s="32">
        <v>15102285</v>
      </c>
    </row>
    <row r="16" spans="1:37" x14ac:dyDescent="0.3">
      <c r="A16" s="11" t="s">
        <v>102</v>
      </c>
      <c r="C16" s="25" t="s">
        <v>27</v>
      </c>
      <c r="D16" s="34">
        <v>44530</v>
      </c>
      <c r="H16" s="32">
        <v>15102286</v>
      </c>
    </row>
    <row r="17" spans="1:8" x14ac:dyDescent="0.3">
      <c r="A17" s="11" t="s">
        <v>103</v>
      </c>
      <c r="C17" s="25" t="s">
        <v>28</v>
      </c>
      <c r="D17" s="21" t="s">
        <v>88</v>
      </c>
      <c r="H17" s="32">
        <v>15102287</v>
      </c>
    </row>
    <row r="18" spans="1:8" x14ac:dyDescent="0.3">
      <c r="A18" s="11"/>
      <c r="H18" s="32">
        <v>15102288</v>
      </c>
    </row>
    <row r="19" spans="1:8" x14ac:dyDescent="0.3">
      <c r="A19" s="11"/>
      <c r="H19" s="32">
        <v>15102289</v>
      </c>
    </row>
    <row r="20" spans="1:8" x14ac:dyDescent="0.3">
      <c r="A20" s="11"/>
      <c r="H20" s="32">
        <v>15102290</v>
      </c>
    </row>
    <row r="21" spans="1:8" x14ac:dyDescent="0.3">
      <c r="A21" s="11"/>
      <c r="H21" s="32">
        <v>15102291</v>
      </c>
    </row>
    <row r="22" spans="1:8" x14ac:dyDescent="0.3">
      <c r="A22" s="11"/>
      <c r="H22" s="32">
        <v>15102292</v>
      </c>
    </row>
    <row r="23" spans="1:8" x14ac:dyDescent="0.3">
      <c r="A23" s="11"/>
      <c r="H23" s="32">
        <v>15102293</v>
      </c>
    </row>
    <row r="24" spans="1:8" x14ac:dyDescent="0.3">
      <c r="A24" s="11"/>
      <c r="H24" s="32">
        <v>15102294</v>
      </c>
    </row>
    <row r="25" spans="1:8" x14ac:dyDescent="0.3">
      <c r="A25" s="11"/>
      <c r="H25" s="32">
        <v>15102295</v>
      </c>
    </row>
    <row r="26" spans="1:8" x14ac:dyDescent="0.3">
      <c r="A26" s="11"/>
      <c r="H26" s="32">
        <v>15102296</v>
      </c>
    </row>
    <row r="27" spans="1:8" x14ac:dyDescent="0.3">
      <c r="A27" s="11"/>
      <c r="H27" s="32">
        <v>15102297</v>
      </c>
    </row>
    <row r="28" spans="1:8" x14ac:dyDescent="0.3">
      <c r="A28" s="11"/>
      <c r="H28" s="32">
        <v>15102298</v>
      </c>
    </row>
    <row r="29" spans="1:8" x14ac:dyDescent="0.3">
      <c r="A29" s="11"/>
      <c r="H29" s="32">
        <v>15102299</v>
      </c>
    </row>
    <row r="30" spans="1:8" x14ac:dyDescent="0.3">
      <c r="A30" s="11"/>
      <c r="H30" s="32">
        <v>15102300</v>
      </c>
    </row>
    <row r="31" spans="1:8" x14ac:dyDescent="0.3">
      <c r="A31" s="11"/>
      <c r="H31" s="32">
        <v>15102301</v>
      </c>
    </row>
    <row r="32" spans="1:8" x14ac:dyDescent="0.3">
      <c r="A32" s="11"/>
      <c r="H32" s="32">
        <v>15102302</v>
      </c>
    </row>
    <row r="33" spans="1:8" x14ac:dyDescent="0.3">
      <c r="A33" s="11"/>
      <c r="H33" s="32">
        <v>15102303</v>
      </c>
    </row>
    <row r="34" spans="1:8" x14ac:dyDescent="0.3">
      <c r="A34" s="11"/>
      <c r="H34" s="32">
        <v>15102304</v>
      </c>
    </row>
    <row r="35" spans="1:8" x14ac:dyDescent="0.3">
      <c r="A35" s="11"/>
      <c r="H35" s="32">
        <v>15102305</v>
      </c>
    </row>
    <row r="36" spans="1:8" x14ac:dyDescent="0.3">
      <c r="A36" s="11"/>
      <c r="H36" s="32">
        <v>15102306</v>
      </c>
    </row>
    <row r="37" spans="1:8" x14ac:dyDescent="0.3">
      <c r="A37" s="11"/>
      <c r="H37" s="32">
        <v>15102307</v>
      </c>
    </row>
    <row r="38" spans="1:8" x14ac:dyDescent="0.3">
      <c r="A38" s="11"/>
      <c r="H38" s="32">
        <v>15102308</v>
      </c>
    </row>
    <row r="39" spans="1:8" x14ac:dyDescent="0.3">
      <c r="A39" s="11"/>
      <c r="H39" s="32">
        <v>15102309</v>
      </c>
    </row>
    <row r="40" spans="1:8" x14ac:dyDescent="0.3">
      <c r="A40" s="11"/>
      <c r="H40" s="32">
        <v>15102310</v>
      </c>
    </row>
    <row r="41" spans="1:8" x14ac:dyDescent="0.3">
      <c r="A41" s="11"/>
      <c r="H41" s="32">
        <v>15102311</v>
      </c>
    </row>
    <row r="42" spans="1:8" x14ac:dyDescent="0.3">
      <c r="A42" s="11"/>
      <c r="H42" s="32">
        <v>15102312</v>
      </c>
    </row>
    <row r="43" spans="1:8" x14ac:dyDescent="0.3">
      <c r="A43" s="11"/>
      <c r="H43" s="32">
        <v>15102313</v>
      </c>
    </row>
    <row r="44" spans="1:8" x14ac:dyDescent="0.3">
      <c r="A44" s="11"/>
      <c r="H44" s="32">
        <v>15102314</v>
      </c>
    </row>
    <row r="45" spans="1:8" x14ac:dyDescent="0.3">
      <c r="A45" s="11"/>
      <c r="H45" s="32">
        <v>15102315</v>
      </c>
    </row>
    <row r="46" spans="1:8" x14ac:dyDescent="0.3">
      <c r="A46" s="11"/>
      <c r="H46" s="32">
        <v>15102316</v>
      </c>
    </row>
    <row r="47" spans="1:8" x14ac:dyDescent="0.3">
      <c r="A47" s="11"/>
      <c r="H47" s="32">
        <v>15102317</v>
      </c>
    </row>
    <row r="48" spans="1:8" x14ac:dyDescent="0.3">
      <c r="A48" s="11"/>
      <c r="H48" s="32">
        <v>15102318</v>
      </c>
    </row>
    <row r="49" spans="1:8" x14ac:dyDescent="0.3">
      <c r="A49" s="11"/>
      <c r="H49" s="32">
        <v>15102319</v>
      </c>
    </row>
    <row r="50" spans="1:8" x14ac:dyDescent="0.3">
      <c r="A50" s="11"/>
      <c r="H50" s="32">
        <v>15102320</v>
      </c>
    </row>
    <row r="51" spans="1:8" x14ac:dyDescent="0.3">
      <c r="A51" s="11"/>
      <c r="H51" s="32">
        <v>15102321</v>
      </c>
    </row>
    <row r="52" spans="1:8" x14ac:dyDescent="0.3">
      <c r="A52" s="11"/>
      <c r="H52" s="32">
        <v>15102322</v>
      </c>
    </row>
    <row r="53" spans="1:8" x14ac:dyDescent="0.3">
      <c r="A53" s="11"/>
      <c r="H53" s="32">
        <v>15102323</v>
      </c>
    </row>
    <row r="54" spans="1:8" x14ac:dyDescent="0.3">
      <c r="A54" s="11"/>
      <c r="H54" s="32">
        <v>15102324</v>
      </c>
    </row>
    <row r="55" spans="1:8" x14ac:dyDescent="0.3">
      <c r="A55" s="11"/>
      <c r="H55" s="32">
        <v>15102325</v>
      </c>
    </row>
    <row r="56" spans="1:8" x14ac:dyDescent="0.3">
      <c r="A56" s="11"/>
      <c r="H56" s="32">
        <v>15102326</v>
      </c>
    </row>
    <row r="57" spans="1:8" x14ac:dyDescent="0.3">
      <c r="A57" s="11"/>
      <c r="H57" s="32">
        <v>15102327</v>
      </c>
    </row>
    <row r="58" spans="1:8" x14ac:dyDescent="0.3">
      <c r="A58" s="11"/>
      <c r="H58" s="32">
        <v>15102328</v>
      </c>
    </row>
    <row r="59" spans="1:8" x14ac:dyDescent="0.3">
      <c r="A59" s="11"/>
      <c r="H59" s="32">
        <v>15102329</v>
      </c>
    </row>
    <row r="60" spans="1:8" x14ac:dyDescent="0.3">
      <c r="A60" s="11"/>
      <c r="H60" s="32">
        <v>15102330</v>
      </c>
    </row>
    <row r="61" spans="1:8" x14ac:dyDescent="0.3">
      <c r="H61" s="32">
        <v>15102331</v>
      </c>
    </row>
    <row r="62" spans="1:8" x14ac:dyDescent="0.3">
      <c r="H62" s="32">
        <v>15102332</v>
      </c>
    </row>
    <row r="63" spans="1:8" x14ac:dyDescent="0.3">
      <c r="H63" s="32">
        <v>15102333</v>
      </c>
    </row>
    <row r="64" spans="1:8" x14ac:dyDescent="0.3">
      <c r="H64" s="32">
        <v>15102334</v>
      </c>
    </row>
    <row r="65" spans="8:8" x14ac:dyDescent="0.3">
      <c r="H65" s="32">
        <v>15102335</v>
      </c>
    </row>
    <row r="66" spans="8:8" x14ac:dyDescent="0.3">
      <c r="H66" s="32">
        <v>15102336</v>
      </c>
    </row>
    <row r="67" spans="8:8" x14ac:dyDescent="0.3">
      <c r="H67" s="32">
        <v>15102338</v>
      </c>
    </row>
    <row r="68" spans="8:8" x14ac:dyDescent="0.3">
      <c r="H68" s="32">
        <v>15102339</v>
      </c>
    </row>
    <row r="69" spans="8:8" x14ac:dyDescent="0.3">
      <c r="H69" s="32">
        <v>15102340</v>
      </c>
    </row>
    <row r="70" spans="8:8" x14ac:dyDescent="0.3">
      <c r="H70" s="32">
        <v>15102341</v>
      </c>
    </row>
    <row r="71" spans="8:8" x14ac:dyDescent="0.3">
      <c r="H71" s="32">
        <v>15102342</v>
      </c>
    </row>
    <row r="72" spans="8:8" x14ac:dyDescent="0.3">
      <c r="H72" s="32">
        <v>15102343</v>
      </c>
    </row>
    <row r="73" spans="8:8" x14ac:dyDescent="0.3">
      <c r="H73" s="32">
        <v>15102344</v>
      </c>
    </row>
    <row r="74" spans="8:8" x14ac:dyDescent="0.3">
      <c r="H74" s="32">
        <v>15102345</v>
      </c>
    </row>
    <row r="75" spans="8:8" x14ac:dyDescent="0.3">
      <c r="H75" s="32">
        <v>15102346</v>
      </c>
    </row>
    <row r="76" spans="8:8" x14ac:dyDescent="0.3">
      <c r="H76" s="32">
        <v>15102347</v>
      </c>
    </row>
    <row r="77" spans="8:8" x14ac:dyDescent="0.3">
      <c r="H77" s="32">
        <v>15102348</v>
      </c>
    </row>
    <row r="78" spans="8:8" x14ac:dyDescent="0.3">
      <c r="H78" s="32">
        <v>15102350</v>
      </c>
    </row>
    <row r="79" spans="8:8" x14ac:dyDescent="0.3">
      <c r="H79" s="32">
        <v>15102351</v>
      </c>
    </row>
    <row r="80" spans="8:8" x14ac:dyDescent="0.3">
      <c r="H80" s="32">
        <v>15102352</v>
      </c>
    </row>
    <row r="81" spans="8:8" x14ac:dyDescent="0.3">
      <c r="H81" s="32">
        <v>15102353</v>
      </c>
    </row>
    <row r="82" spans="8:8" x14ac:dyDescent="0.3">
      <c r="H82" s="32">
        <v>15102354</v>
      </c>
    </row>
    <row r="83" spans="8:8" x14ac:dyDescent="0.3">
      <c r="H83" s="32">
        <v>15102355</v>
      </c>
    </row>
    <row r="84" spans="8:8" x14ac:dyDescent="0.3">
      <c r="H84" s="32">
        <v>15102356</v>
      </c>
    </row>
    <row r="85" spans="8:8" x14ac:dyDescent="0.3">
      <c r="H85" s="32">
        <v>15102357</v>
      </c>
    </row>
    <row r="86" spans="8:8" x14ac:dyDescent="0.3">
      <c r="H86" s="33">
        <v>15102358</v>
      </c>
    </row>
    <row r="87" spans="8:8" x14ac:dyDescent="0.3">
      <c r="H87" s="33">
        <v>15102359</v>
      </c>
    </row>
    <row r="88" spans="8:8" x14ac:dyDescent="0.3">
      <c r="H88" s="33">
        <v>15102360</v>
      </c>
    </row>
    <row r="89" spans="8:8" x14ac:dyDescent="0.3">
      <c r="H89" s="33">
        <v>15102361</v>
      </c>
    </row>
    <row r="90" spans="8:8" x14ac:dyDescent="0.3">
      <c r="H90" s="33">
        <v>15102362</v>
      </c>
    </row>
    <row r="91" spans="8:8" x14ac:dyDescent="0.3">
      <c r="H91" s="33">
        <v>15102363</v>
      </c>
    </row>
    <row r="92" spans="8:8" x14ac:dyDescent="0.3">
      <c r="H92" s="33">
        <v>15102364</v>
      </c>
    </row>
    <row r="93" spans="8:8" x14ac:dyDescent="0.3">
      <c r="H93" s="33">
        <v>15102365</v>
      </c>
    </row>
    <row r="94" spans="8:8" x14ac:dyDescent="0.3">
      <c r="H94" s="33">
        <v>15102366</v>
      </c>
    </row>
    <row r="95" spans="8:8" x14ac:dyDescent="0.3">
      <c r="H95" s="33">
        <v>15102367</v>
      </c>
    </row>
    <row r="96" spans="8:8" x14ac:dyDescent="0.3">
      <c r="H96" s="33">
        <v>15102368</v>
      </c>
    </row>
    <row r="97" spans="8:8" x14ac:dyDescent="0.3">
      <c r="H97" s="33">
        <v>15102369</v>
      </c>
    </row>
    <row r="98" spans="8:8" x14ac:dyDescent="0.3">
      <c r="H98" s="33">
        <v>15102370</v>
      </c>
    </row>
    <row r="99" spans="8:8" x14ac:dyDescent="0.3">
      <c r="H99" s="33">
        <v>15102371</v>
      </c>
    </row>
    <row r="100" spans="8:8" x14ac:dyDescent="0.3">
      <c r="H100" s="33">
        <v>15102372</v>
      </c>
    </row>
    <row r="101" spans="8:8" x14ac:dyDescent="0.3">
      <c r="H101" s="33">
        <v>15102373</v>
      </c>
    </row>
    <row r="102" spans="8:8" x14ac:dyDescent="0.3">
      <c r="H102" s="33">
        <v>15102374</v>
      </c>
    </row>
    <row r="103" spans="8:8" x14ac:dyDescent="0.3">
      <c r="H103" s="33">
        <v>15102375</v>
      </c>
    </row>
    <row r="104" spans="8:8" x14ac:dyDescent="0.3">
      <c r="H104" s="33">
        <v>15102376</v>
      </c>
    </row>
    <row r="105" spans="8:8" x14ac:dyDescent="0.3">
      <c r="H105" s="33">
        <v>15102377</v>
      </c>
    </row>
    <row r="106" spans="8:8" x14ac:dyDescent="0.3">
      <c r="H106" s="33">
        <v>15102378</v>
      </c>
    </row>
    <row r="107" spans="8:8" x14ac:dyDescent="0.3">
      <c r="H107" s="33">
        <v>15102379</v>
      </c>
    </row>
    <row r="108" spans="8:8" x14ac:dyDescent="0.3">
      <c r="H108" s="33">
        <v>15102380</v>
      </c>
    </row>
    <row r="109" spans="8:8" x14ac:dyDescent="0.3">
      <c r="H109" s="33">
        <v>15102381</v>
      </c>
    </row>
    <row r="110" spans="8:8" x14ac:dyDescent="0.3">
      <c r="H110" s="33">
        <v>15102382</v>
      </c>
    </row>
    <row r="111" spans="8:8" x14ac:dyDescent="0.3">
      <c r="H111" s="33">
        <v>15102383</v>
      </c>
    </row>
    <row r="112" spans="8:8" x14ac:dyDescent="0.3">
      <c r="H112" s="33">
        <v>15102384</v>
      </c>
    </row>
    <row r="113" spans="8:8" x14ac:dyDescent="0.3">
      <c r="H113" s="33">
        <v>15102385</v>
      </c>
    </row>
    <row r="114" spans="8:8" x14ac:dyDescent="0.3">
      <c r="H114" s="33">
        <v>15102386</v>
      </c>
    </row>
    <row r="115" spans="8:8" x14ac:dyDescent="0.3">
      <c r="H115" s="33">
        <v>15102387</v>
      </c>
    </row>
    <row r="116" spans="8:8" x14ac:dyDescent="0.3">
      <c r="H116" s="33">
        <v>15102388</v>
      </c>
    </row>
    <row r="117" spans="8:8" x14ac:dyDescent="0.3">
      <c r="H117" s="33">
        <v>15102389</v>
      </c>
    </row>
    <row r="118" spans="8:8" x14ac:dyDescent="0.3">
      <c r="H118" s="33">
        <v>15102390</v>
      </c>
    </row>
    <row r="119" spans="8:8" x14ac:dyDescent="0.3">
      <c r="H119" s="33">
        <v>15102391</v>
      </c>
    </row>
    <row r="120" spans="8:8" x14ac:dyDescent="0.3">
      <c r="H120" s="33">
        <v>15102392</v>
      </c>
    </row>
    <row r="121" spans="8:8" x14ac:dyDescent="0.3">
      <c r="H121" s="33">
        <v>15102393</v>
      </c>
    </row>
    <row r="122" spans="8:8" x14ac:dyDescent="0.3">
      <c r="H122" s="33">
        <v>15102394</v>
      </c>
    </row>
    <row r="123" spans="8:8" x14ac:dyDescent="0.3">
      <c r="H123" s="33">
        <v>15102395</v>
      </c>
    </row>
    <row r="124" spans="8:8" x14ac:dyDescent="0.3">
      <c r="H124" s="33">
        <v>15102396</v>
      </c>
    </row>
    <row r="125" spans="8:8" x14ac:dyDescent="0.3">
      <c r="H125" s="33">
        <v>15102397</v>
      </c>
    </row>
    <row r="126" spans="8:8" x14ac:dyDescent="0.3">
      <c r="H126" s="33">
        <v>15102398</v>
      </c>
    </row>
    <row r="127" spans="8:8" x14ac:dyDescent="0.3">
      <c r="H127" s="33">
        <v>15102399</v>
      </c>
    </row>
    <row r="128" spans="8:8" x14ac:dyDescent="0.3">
      <c r="H128" s="33">
        <v>15102400</v>
      </c>
    </row>
    <row r="129" spans="8:8" x14ac:dyDescent="0.3">
      <c r="H129" s="33">
        <v>15102401</v>
      </c>
    </row>
    <row r="130" spans="8:8" x14ac:dyDescent="0.3">
      <c r="H130" s="33">
        <v>15102402</v>
      </c>
    </row>
    <row r="131" spans="8:8" x14ac:dyDescent="0.3">
      <c r="H131" s="33">
        <v>15102403</v>
      </c>
    </row>
    <row r="132" spans="8:8" x14ac:dyDescent="0.3">
      <c r="H132" s="33">
        <v>15102404</v>
      </c>
    </row>
    <row r="133" spans="8:8" x14ac:dyDescent="0.3">
      <c r="H133" s="33">
        <v>15102405</v>
      </c>
    </row>
    <row r="134" spans="8:8" x14ac:dyDescent="0.3">
      <c r="H134" s="33">
        <v>15102406</v>
      </c>
    </row>
    <row r="135" spans="8:8" x14ac:dyDescent="0.3">
      <c r="H135" s="33">
        <v>15102407</v>
      </c>
    </row>
    <row r="136" spans="8:8" x14ac:dyDescent="0.3">
      <c r="H136" s="33">
        <v>15102408</v>
      </c>
    </row>
    <row r="137" spans="8:8" x14ac:dyDescent="0.3">
      <c r="H137" s="33">
        <v>15102409</v>
      </c>
    </row>
    <row r="138" spans="8:8" x14ac:dyDescent="0.3">
      <c r="H138" s="33">
        <v>15102410</v>
      </c>
    </row>
    <row r="139" spans="8:8" x14ac:dyDescent="0.3">
      <c r="H139" s="33">
        <v>15102411</v>
      </c>
    </row>
    <row r="140" spans="8:8" x14ac:dyDescent="0.3">
      <c r="H140" s="33">
        <v>15102412</v>
      </c>
    </row>
    <row r="141" spans="8:8" x14ac:dyDescent="0.3">
      <c r="H141" s="33">
        <v>15102413</v>
      </c>
    </row>
    <row r="142" spans="8:8" x14ac:dyDescent="0.3">
      <c r="H142" s="33">
        <v>15102414</v>
      </c>
    </row>
    <row r="143" spans="8:8" x14ac:dyDescent="0.3">
      <c r="H143" s="33">
        <v>15102415</v>
      </c>
    </row>
    <row r="144" spans="8:8" x14ac:dyDescent="0.3">
      <c r="H144" s="33">
        <v>15102416</v>
      </c>
    </row>
    <row r="145" spans="8:8" x14ac:dyDescent="0.3">
      <c r="H145" s="33">
        <v>15102417</v>
      </c>
    </row>
    <row r="146" spans="8:8" x14ac:dyDescent="0.3">
      <c r="H146" s="33">
        <v>15102418</v>
      </c>
    </row>
    <row r="147" spans="8:8" x14ac:dyDescent="0.3">
      <c r="H147" s="33">
        <v>15102419</v>
      </c>
    </row>
    <row r="148" spans="8:8" x14ac:dyDescent="0.3">
      <c r="H148" s="33">
        <v>15102420</v>
      </c>
    </row>
    <row r="149" spans="8:8" x14ac:dyDescent="0.3">
      <c r="H149" s="33">
        <v>15102421</v>
      </c>
    </row>
    <row r="150" spans="8:8" x14ac:dyDescent="0.3">
      <c r="H150" s="33">
        <v>15102422</v>
      </c>
    </row>
    <row r="151" spans="8:8" x14ac:dyDescent="0.3">
      <c r="H151" s="33">
        <v>15102423</v>
      </c>
    </row>
    <row r="152" spans="8:8" x14ac:dyDescent="0.3">
      <c r="H152" s="33">
        <v>15102424</v>
      </c>
    </row>
    <row r="153" spans="8:8" x14ac:dyDescent="0.3">
      <c r="H153" s="33">
        <v>15102425</v>
      </c>
    </row>
    <row r="154" spans="8:8" x14ac:dyDescent="0.3">
      <c r="H154" s="33">
        <v>15102426</v>
      </c>
    </row>
    <row r="155" spans="8:8" x14ac:dyDescent="0.3">
      <c r="H155" s="33">
        <v>15102427</v>
      </c>
    </row>
    <row r="156" spans="8:8" x14ac:dyDescent="0.3">
      <c r="H156" s="33">
        <v>15102428</v>
      </c>
    </row>
    <row r="157" spans="8:8" x14ac:dyDescent="0.3">
      <c r="H157" s="33">
        <v>15102429</v>
      </c>
    </row>
    <row r="158" spans="8:8" x14ac:dyDescent="0.3">
      <c r="H158" s="33">
        <v>15102430</v>
      </c>
    </row>
    <row r="159" spans="8:8" x14ac:dyDescent="0.3">
      <c r="H159" s="33">
        <v>15102431</v>
      </c>
    </row>
    <row r="160" spans="8:8" x14ac:dyDescent="0.3">
      <c r="H160" s="33">
        <v>15102432</v>
      </c>
    </row>
    <row r="161" spans="8:8" x14ac:dyDescent="0.3">
      <c r="H161" s="33">
        <v>15102433</v>
      </c>
    </row>
    <row r="162" spans="8:8" x14ac:dyDescent="0.3">
      <c r="H162" s="33">
        <v>15102434</v>
      </c>
    </row>
    <row r="163" spans="8:8" x14ac:dyDescent="0.3">
      <c r="H163" s="33">
        <v>15102435</v>
      </c>
    </row>
    <row r="164" spans="8:8" x14ac:dyDescent="0.3">
      <c r="H164" s="33">
        <v>15102436</v>
      </c>
    </row>
    <row r="165" spans="8:8" x14ac:dyDescent="0.3">
      <c r="H165" s="33">
        <v>15102437</v>
      </c>
    </row>
    <row r="166" spans="8:8" x14ac:dyDescent="0.3">
      <c r="H166" s="33">
        <v>15102438</v>
      </c>
    </row>
    <row r="167" spans="8:8" x14ac:dyDescent="0.3">
      <c r="H167" s="33">
        <v>15102439</v>
      </c>
    </row>
    <row r="168" spans="8:8" x14ac:dyDescent="0.3">
      <c r="H168" s="33">
        <v>15102440</v>
      </c>
    </row>
  </sheetData>
  <sheetProtection algorithmName="SHA-512" hashValue="Mw6pTuKcK2RYhE/C4vQBDCIgwsfklXez60qdpDn0RbjE5WXSUBdAAkP/35WkhXSAFEbeHzAb3uoKJXPho0vY9Q==" saltValue="P4+ts80LdnIaOIq/++AYYw==" spinCount="100000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518160</xdr:colOff>
                    <xdr:row>8</xdr:row>
                    <xdr:rowOff>274320</xdr:rowOff>
                  </from>
                  <to>
                    <xdr:col>11</xdr:col>
                    <xdr:colOff>594360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307"/>
  <sheetViews>
    <sheetView tabSelected="1" topLeftCell="A49" zoomScale="55" zoomScaleNormal="55" workbookViewId="0">
      <selection activeCell="G19" sqref="G19"/>
    </sheetView>
  </sheetViews>
  <sheetFormatPr defaultColWidth="21.5546875" defaultRowHeight="31.5" customHeight="1" x14ac:dyDescent="0.3"/>
  <cols>
    <col min="1" max="6" width="22.88671875" style="35" customWidth="1"/>
    <col min="7" max="16384" width="21.5546875" style="35"/>
  </cols>
  <sheetData>
    <row r="1" spans="1:7" ht="31.5" customHeight="1" x14ac:dyDescent="0.3">
      <c r="A1" s="38" t="s">
        <v>31</v>
      </c>
      <c r="B1" s="38"/>
    </row>
    <row r="2" spans="1:7" ht="31.5" customHeight="1" x14ac:dyDescent="0.3">
      <c r="A2" s="35" t="s">
        <v>35</v>
      </c>
      <c r="B2" s="39" t="s">
        <v>33</v>
      </c>
      <c r="C2" s="39"/>
    </row>
    <row r="3" spans="1:7" ht="31.5" customHeight="1" x14ac:dyDescent="0.3">
      <c r="A3" s="35" t="s">
        <v>32</v>
      </c>
      <c r="B3" s="39">
        <v>822018</v>
      </c>
      <c r="C3" s="39"/>
    </row>
    <row r="4" spans="1:7" ht="31.5" customHeight="1" x14ac:dyDescent="0.3">
      <c r="A4" s="35" t="s">
        <v>15</v>
      </c>
      <c r="B4" s="40" t="s">
        <v>34</v>
      </c>
      <c r="C4" s="40"/>
    </row>
    <row r="5" spans="1:7" ht="31.5" customHeight="1" x14ac:dyDescent="0.3">
      <c r="A5" s="35" t="s">
        <v>36</v>
      </c>
      <c r="B5" s="39" t="s">
        <v>88</v>
      </c>
      <c r="C5" s="39"/>
    </row>
    <row r="6" spans="1:7" ht="31.5" customHeight="1" x14ac:dyDescent="0.3">
      <c r="A6" s="35" t="s">
        <v>37</v>
      </c>
      <c r="B6" s="41">
        <v>44530</v>
      </c>
      <c r="C6" s="41"/>
    </row>
    <row r="8" spans="1:7" ht="31.5" customHeight="1" x14ac:dyDescent="0.3">
      <c r="A8" s="47" t="s">
        <v>89</v>
      </c>
    </row>
    <row r="9" spans="1:7" ht="31.5" customHeight="1" x14ac:dyDescent="0.3">
      <c r="A9" s="48" t="s">
        <v>38</v>
      </c>
      <c r="B9" s="48" t="s">
        <v>39</v>
      </c>
      <c r="C9" s="48" t="s">
        <v>38</v>
      </c>
      <c r="D9" s="48" t="s">
        <v>39</v>
      </c>
      <c r="E9" s="48" t="s">
        <v>38</v>
      </c>
      <c r="F9" s="48" t="s">
        <v>39</v>
      </c>
      <c r="G9" s="44"/>
    </row>
    <row r="10" spans="1:7" ht="31.5" customHeight="1" x14ac:dyDescent="0.3">
      <c r="A10" s="49">
        <v>15102273</v>
      </c>
      <c r="B10" s="49"/>
      <c r="C10" s="49">
        <v>15102277</v>
      </c>
      <c r="D10" s="49"/>
      <c r="E10" s="49">
        <v>15102281</v>
      </c>
      <c r="F10" s="49"/>
      <c r="G10" s="42"/>
    </row>
    <row r="11" spans="1:7" ht="31.5" customHeight="1" x14ac:dyDescent="0.3">
      <c r="A11" s="49">
        <v>15102274</v>
      </c>
      <c r="B11" s="49"/>
      <c r="C11" s="49">
        <v>15102278</v>
      </c>
      <c r="D11" s="49"/>
      <c r="E11" s="49">
        <v>15102282</v>
      </c>
      <c r="F11" s="49"/>
      <c r="G11" s="42"/>
    </row>
    <row r="12" spans="1:7" ht="31.5" customHeight="1" x14ac:dyDescent="0.3">
      <c r="A12" s="49">
        <v>15102275</v>
      </c>
      <c r="B12" s="49"/>
      <c r="C12" s="49">
        <v>15102279</v>
      </c>
      <c r="D12" s="49"/>
      <c r="E12" s="49">
        <v>15102283</v>
      </c>
      <c r="F12" s="49"/>
      <c r="G12" s="42"/>
    </row>
    <row r="13" spans="1:7" ht="31.5" customHeight="1" x14ac:dyDescent="0.3">
      <c r="A13" s="49">
        <v>15102276</v>
      </c>
      <c r="B13" s="49"/>
      <c r="C13" s="49">
        <v>15102280</v>
      </c>
      <c r="D13" s="49"/>
      <c r="E13" s="49">
        <v>15102284</v>
      </c>
      <c r="F13" s="49"/>
      <c r="G13" s="42"/>
    </row>
    <row r="15" spans="1:7" ht="31.5" customHeight="1" x14ac:dyDescent="0.35">
      <c r="A15" s="35" t="s">
        <v>105</v>
      </c>
      <c r="E15" s="50" t="s">
        <v>40</v>
      </c>
      <c r="F15" s="51">
        <v>12</v>
      </c>
      <c r="G15" s="45"/>
    </row>
    <row r="16" spans="1:7" ht="31.5" customHeight="1" x14ac:dyDescent="0.3">
      <c r="A16" s="46">
        <v>1</v>
      </c>
      <c r="E16" s="52" t="s">
        <v>41</v>
      </c>
      <c r="F16" s="52"/>
    </row>
    <row r="17" spans="1:7" ht="31.5" customHeight="1" x14ac:dyDescent="0.3">
      <c r="E17" s="52" t="s">
        <v>42</v>
      </c>
      <c r="F17" s="52"/>
    </row>
    <row r="19" spans="1:7" ht="31.5" customHeight="1" x14ac:dyDescent="0.3">
      <c r="C19" s="36"/>
    </row>
    <row r="21" spans="1:7" ht="31.5" customHeight="1" x14ac:dyDescent="0.3">
      <c r="A21" s="54" t="s">
        <v>106</v>
      </c>
      <c r="C21" s="43"/>
      <c r="D21" s="43"/>
      <c r="F21" s="55" t="s">
        <v>104</v>
      </c>
      <c r="G21" s="55"/>
    </row>
    <row r="23" spans="1:7" ht="31.5" customHeight="1" x14ac:dyDescent="0.3">
      <c r="A23" s="38" t="s">
        <v>31</v>
      </c>
      <c r="B23" s="37"/>
    </row>
    <row r="24" spans="1:7" ht="31.5" customHeight="1" x14ac:dyDescent="0.3">
      <c r="A24" s="35" t="s">
        <v>35</v>
      </c>
      <c r="B24" s="39" t="s">
        <v>33</v>
      </c>
    </row>
    <row r="25" spans="1:7" ht="31.5" customHeight="1" x14ac:dyDescent="0.3">
      <c r="A25" s="35" t="s">
        <v>32</v>
      </c>
      <c r="B25" s="39">
        <v>822018</v>
      </c>
    </row>
    <row r="26" spans="1:7" ht="31.5" customHeight="1" x14ac:dyDescent="0.3">
      <c r="A26" s="35" t="s">
        <v>15</v>
      </c>
      <c r="B26" s="39" t="s">
        <v>34</v>
      </c>
    </row>
    <row r="27" spans="1:7" ht="31.5" customHeight="1" x14ac:dyDescent="0.3">
      <c r="A27" s="35" t="s">
        <v>36</v>
      </c>
      <c r="B27" s="39" t="s">
        <v>88</v>
      </c>
    </row>
    <row r="28" spans="1:7" ht="31.5" customHeight="1" x14ac:dyDescent="0.3">
      <c r="A28" s="35" t="s">
        <v>37</v>
      </c>
      <c r="B28" s="41">
        <v>44530</v>
      </c>
    </row>
    <row r="30" spans="1:7" ht="31.5" customHeight="1" x14ac:dyDescent="0.3">
      <c r="A30" s="47" t="s">
        <v>90</v>
      </c>
    </row>
    <row r="31" spans="1:7" ht="31.5" customHeight="1" x14ac:dyDescent="0.3">
      <c r="A31" s="48" t="s">
        <v>38</v>
      </c>
      <c r="B31" s="48" t="s">
        <v>39</v>
      </c>
      <c r="C31" s="48" t="s">
        <v>38</v>
      </c>
      <c r="D31" s="48" t="s">
        <v>39</v>
      </c>
      <c r="E31" s="48" t="s">
        <v>38</v>
      </c>
      <c r="F31" s="48" t="s">
        <v>39</v>
      </c>
    </row>
    <row r="32" spans="1:7" ht="31.5" customHeight="1" x14ac:dyDescent="0.3">
      <c r="A32" s="49">
        <v>15102285</v>
      </c>
      <c r="B32" s="49"/>
      <c r="C32" s="49">
        <v>15102289</v>
      </c>
      <c r="D32" s="49"/>
      <c r="E32" s="49">
        <v>15102293</v>
      </c>
      <c r="F32" s="49"/>
    </row>
    <row r="33" spans="1:7" ht="31.5" customHeight="1" x14ac:dyDescent="0.3">
      <c r="A33" s="49">
        <v>15102286</v>
      </c>
      <c r="B33" s="49"/>
      <c r="C33" s="49">
        <v>15102290</v>
      </c>
      <c r="D33" s="49"/>
      <c r="E33" s="49">
        <v>15102294</v>
      </c>
      <c r="F33" s="49"/>
    </row>
    <row r="34" spans="1:7" ht="31.5" customHeight="1" x14ac:dyDescent="0.3">
      <c r="A34" s="49">
        <v>15102287</v>
      </c>
      <c r="B34" s="49"/>
      <c r="C34" s="49">
        <v>15102291</v>
      </c>
      <c r="D34" s="49"/>
      <c r="E34" s="49">
        <v>15102295</v>
      </c>
      <c r="F34" s="49"/>
    </row>
    <row r="35" spans="1:7" ht="31.5" customHeight="1" x14ac:dyDescent="0.3">
      <c r="A35" s="49">
        <v>15102288</v>
      </c>
      <c r="B35" s="49"/>
      <c r="C35" s="49">
        <v>15102292</v>
      </c>
      <c r="D35" s="49"/>
      <c r="E35" s="49">
        <v>15102296</v>
      </c>
      <c r="F35" s="49"/>
    </row>
    <row r="37" spans="1:7" ht="31.5" customHeight="1" x14ac:dyDescent="0.35">
      <c r="A37" s="35" t="s">
        <v>105</v>
      </c>
      <c r="E37" s="50" t="s">
        <v>40</v>
      </c>
      <c r="F37" s="51">
        <v>12</v>
      </c>
    </row>
    <row r="38" spans="1:7" ht="31.5" customHeight="1" x14ac:dyDescent="0.3">
      <c r="A38" s="46">
        <v>1</v>
      </c>
      <c r="E38" s="52" t="s">
        <v>41</v>
      </c>
      <c r="F38" s="52"/>
    </row>
    <row r="39" spans="1:7" ht="31.5" customHeight="1" x14ac:dyDescent="0.3">
      <c r="E39" s="52" t="s">
        <v>42</v>
      </c>
      <c r="F39" s="52"/>
    </row>
    <row r="41" spans="1:7" ht="31.5" customHeight="1" x14ac:dyDescent="0.3">
      <c r="C41" s="36"/>
    </row>
    <row r="42" spans="1:7" ht="31.5" customHeight="1" x14ac:dyDescent="0.3">
      <c r="B42" s="37"/>
    </row>
    <row r="43" spans="1:7" ht="31.5" customHeight="1" x14ac:dyDescent="0.3">
      <c r="A43" s="54" t="s">
        <v>106</v>
      </c>
      <c r="C43" s="43"/>
      <c r="F43" s="55" t="s">
        <v>104</v>
      </c>
      <c r="G43" s="55"/>
    </row>
    <row r="45" spans="1:7" ht="31.5" customHeight="1" x14ac:dyDescent="0.3">
      <c r="A45" s="38" t="s">
        <v>31</v>
      </c>
    </row>
    <row r="46" spans="1:7" ht="31.5" customHeight="1" x14ac:dyDescent="0.3">
      <c r="A46" s="35" t="s">
        <v>35</v>
      </c>
      <c r="B46" s="39" t="s">
        <v>33</v>
      </c>
    </row>
    <row r="47" spans="1:7" ht="31.5" customHeight="1" x14ac:dyDescent="0.3">
      <c r="A47" s="35" t="s">
        <v>32</v>
      </c>
      <c r="B47" s="39">
        <v>822018</v>
      </c>
    </row>
    <row r="48" spans="1:7" ht="31.5" customHeight="1" x14ac:dyDescent="0.3">
      <c r="A48" s="35" t="s">
        <v>15</v>
      </c>
      <c r="B48" s="39" t="s">
        <v>34</v>
      </c>
    </row>
    <row r="49" spans="1:6" ht="31.5" customHeight="1" x14ac:dyDescent="0.3">
      <c r="A49" s="35" t="s">
        <v>36</v>
      </c>
      <c r="B49" s="39" t="s">
        <v>88</v>
      </c>
    </row>
    <row r="50" spans="1:6" ht="31.5" customHeight="1" x14ac:dyDescent="0.3">
      <c r="A50" s="35" t="s">
        <v>37</v>
      </c>
      <c r="B50" s="41">
        <v>44530</v>
      </c>
    </row>
    <row r="52" spans="1:6" ht="31.5" customHeight="1" x14ac:dyDescent="0.3">
      <c r="A52" s="47" t="s">
        <v>91</v>
      </c>
    </row>
    <row r="53" spans="1:6" ht="31.5" customHeight="1" x14ac:dyDescent="0.3">
      <c r="A53" s="48" t="s">
        <v>38</v>
      </c>
      <c r="B53" s="48" t="s">
        <v>39</v>
      </c>
      <c r="C53" s="48" t="s">
        <v>38</v>
      </c>
      <c r="D53" s="48" t="s">
        <v>39</v>
      </c>
      <c r="E53" s="48" t="s">
        <v>38</v>
      </c>
      <c r="F53" s="48" t="s">
        <v>39</v>
      </c>
    </row>
    <row r="54" spans="1:6" ht="31.5" customHeight="1" x14ac:dyDescent="0.3">
      <c r="A54" s="49">
        <v>15102297</v>
      </c>
      <c r="B54" s="49"/>
      <c r="C54" s="49">
        <v>15102301</v>
      </c>
      <c r="D54" s="49"/>
      <c r="E54" s="49">
        <v>15102305</v>
      </c>
      <c r="F54" s="49"/>
    </row>
    <row r="55" spans="1:6" ht="31.5" customHeight="1" x14ac:dyDescent="0.3">
      <c r="A55" s="49">
        <v>15102298</v>
      </c>
      <c r="B55" s="49"/>
      <c r="C55" s="49">
        <v>15102302</v>
      </c>
      <c r="D55" s="49"/>
      <c r="E55" s="49">
        <v>15102306</v>
      </c>
      <c r="F55" s="49"/>
    </row>
    <row r="56" spans="1:6" ht="31.5" customHeight="1" x14ac:dyDescent="0.3">
      <c r="A56" s="49">
        <v>15102299</v>
      </c>
      <c r="B56" s="49"/>
      <c r="C56" s="49">
        <v>15102303</v>
      </c>
      <c r="D56" s="49"/>
      <c r="E56" s="49">
        <v>15102307</v>
      </c>
      <c r="F56" s="49"/>
    </row>
    <row r="57" spans="1:6" ht="31.5" customHeight="1" x14ac:dyDescent="0.3">
      <c r="A57" s="49">
        <v>15102300</v>
      </c>
      <c r="B57" s="49"/>
      <c r="C57" s="49">
        <v>15102304</v>
      </c>
      <c r="D57" s="49"/>
      <c r="E57" s="49">
        <v>15102308</v>
      </c>
      <c r="F57" s="49"/>
    </row>
    <row r="59" spans="1:6" ht="31.5" customHeight="1" x14ac:dyDescent="0.35">
      <c r="A59" s="35" t="s">
        <v>105</v>
      </c>
      <c r="E59" s="50" t="s">
        <v>40</v>
      </c>
      <c r="F59" s="51">
        <v>12</v>
      </c>
    </row>
    <row r="60" spans="1:6" ht="31.5" customHeight="1" x14ac:dyDescent="0.3">
      <c r="A60" s="46">
        <v>1</v>
      </c>
      <c r="E60" s="52" t="s">
        <v>41</v>
      </c>
      <c r="F60" s="52"/>
    </row>
    <row r="61" spans="1:6" ht="31.5" customHeight="1" x14ac:dyDescent="0.3">
      <c r="B61" s="37"/>
      <c r="E61" s="52" t="s">
        <v>42</v>
      </c>
      <c r="F61" s="52"/>
    </row>
    <row r="63" spans="1:6" ht="31.5" customHeight="1" x14ac:dyDescent="0.3">
      <c r="C63" s="36"/>
    </row>
    <row r="65" spans="1:7" ht="31.5" customHeight="1" x14ac:dyDescent="0.3">
      <c r="A65" s="54" t="s">
        <v>106</v>
      </c>
      <c r="C65" s="43"/>
      <c r="F65" s="55" t="s">
        <v>104</v>
      </c>
      <c r="G65" s="55"/>
    </row>
    <row r="67" spans="1:7" ht="31.5" customHeight="1" x14ac:dyDescent="0.3">
      <c r="A67" s="38" t="s">
        <v>31</v>
      </c>
    </row>
    <row r="68" spans="1:7" ht="31.5" customHeight="1" x14ac:dyDescent="0.3">
      <c r="A68" s="35" t="s">
        <v>35</v>
      </c>
      <c r="B68" s="39" t="s">
        <v>33</v>
      </c>
    </row>
    <row r="69" spans="1:7" ht="31.5" customHeight="1" x14ac:dyDescent="0.3">
      <c r="A69" s="35" t="s">
        <v>32</v>
      </c>
      <c r="B69" s="39">
        <v>822018</v>
      </c>
    </row>
    <row r="70" spans="1:7" ht="31.5" customHeight="1" x14ac:dyDescent="0.3">
      <c r="A70" s="35" t="s">
        <v>15</v>
      </c>
      <c r="B70" s="39" t="s">
        <v>34</v>
      </c>
    </row>
    <row r="71" spans="1:7" ht="31.5" customHeight="1" x14ac:dyDescent="0.3">
      <c r="A71" s="35" t="s">
        <v>36</v>
      </c>
      <c r="B71" s="39" t="s">
        <v>88</v>
      </c>
    </row>
    <row r="72" spans="1:7" ht="31.5" customHeight="1" x14ac:dyDescent="0.3">
      <c r="A72" s="35" t="s">
        <v>37</v>
      </c>
      <c r="B72" s="41">
        <v>44530</v>
      </c>
    </row>
    <row r="74" spans="1:7" ht="31.5" customHeight="1" x14ac:dyDescent="0.3">
      <c r="A74" s="47" t="s">
        <v>92</v>
      </c>
    </row>
    <row r="75" spans="1:7" ht="31.5" customHeight="1" x14ac:dyDescent="0.3">
      <c r="A75" s="48" t="s">
        <v>38</v>
      </c>
      <c r="B75" s="48" t="s">
        <v>39</v>
      </c>
      <c r="C75" s="48" t="s">
        <v>38</v>
      </c>
      <c r="D75" s="48" t="s">
        <v>39</v>
      </c>
      <c r="E75" s="48" t="s">
        <v>38</v>
      </c>
      <c r="F75" s="48" t="s">
        <v>39</v>
      </c>
    </row>
    <row r="76" spans="1:7" ht="31.5" customHeight="1" x14ac:dyDescent="0.3">
      <c r="A76" s="49">
        <v>15102309</v>
      </c>
      <c r="B76" s="49"/>
      <c r="C76" s="49">
        <v>15102313</v>
      </c>
      <c r="D76" s="49"/>
      <c r="E76" s="49">
        <v>15102317</v>
      </c>
      <c r="F76" s="49"/>
    </row>
    <row r="77" spans="1:7" ht="31.5" customHeight="1" x14ac:dyDescent="0.3">
      <c r="A77" s="49">
        <v>15102310</v>
      </c>
      <c r="B77" s="49"/>
      <c r="C77" s="49">
        <v>15102314</v>
      </c>
      <c r="D77" s="49"/>
      <c r="E77" s="49">
        <v>15102318</v>
      </c>
      <c r="F77" s="49"/>
    </row>
    <row r="78" spans="1:7" ht="31.5" customHeight="1" x14ac:dyDescent="0.3">
      <c r="A78" s="49">
        <v>15102311</v>
      </c>
      <c r="B78" s="49"/>
      <c r="C78" s="49">
        <v>15102315</v>
      </c>
      <c r="D78" s="49"/>
      <c r="E78" s="49">
        <v>15102319</v>
      </c>
      <c r="F78" s="49"/>
    </row>
    <row r="79" spans="1:7" ht="31.5" customHeight="1" x14ac:dyDescent="0.3">
      <c r="A79" s="49">
        <v>15102312</v>
      </c>
      <c r="B79" s="49"/>
      <c r="C79" s="49">
        <v>15102316</v>
      </c>
      <c r="D79" s="49"/>
      <c r="E79" s="49">
        <v>15102320</v>
      </c>
      <c r="F79" s="49"/>
    </row>
    <row r="80" spans="1:7" ht="31.5" customHeight="1" x14ac:dyDescent="0.3">
      <c r="B80" s="37"/>
    </row>
    <row r="81" spans="1:7" ht="31.5" customHeight="1" x14ac:dyDescent="0.35">
      <c r="A81" s="35" t="s">
        <v>105</v>
      </c>
      <c r="E81" s="50" t="s">
        <v>40</v>
      </c>
      <c r="F81" s="51">
        <v>12</v>
      </c>
    </row>
    <row r="82" spans="1:7" ht="31.5" customHeight="1" x14ac:dyDescent="0.3">
      <c r="A82" s="46">
        <v>1</v>
      </c>
      <c r="E82" s="52" t="s">
        <v>41</v>
      </c>
      <c r="F82" s="52"/>
    </row>
    <row r="83" spans="1:7" ht="31.5" customHeight="1" x14ac:dyDescent="0.3">
      <c r="E83" s="52" t="s">
        <v>42</v>
      </c>
      <c r="F83" s="52"/>
    </row>
    <row r="85" spans="1:7" ht="31.5" customHeight="1" x14ac:dyDescent="0.3">
      <c r="C85" s="36"/>
    </row>
    <row r="87" spans="1:7" ht="31.5" customHeight="1" x14ac:dyDescent="0.3">
      <c r="A87" s="54" t="s">
        <v>106</v>
      </c>
      <c r="C87" s="43"/>
      <c r="F87" s="55" t="s">
        <v>104</v>
      </c>
      <c r="G87" s="55"/>
    </row>
    <row r="89" spans="1:7" ht="31.5" customHeight="1" x14ac:dyDescent="0.3">
      <c r="A89" s="38" t="s">
        <v>31</v>
      </c>
    </row>
    <row r="90" spans="1:7" ht="31.5" customHeight="1" x14ac:dyDescent="0.3">
      <c r="A90" s="35" t="s">
        <v>35</v>
      </c>
      <c r="B90" s="39" t="s">
        <v>33</v>
      </c>
    </row>
    <row r="91" spans="1:7" ht="31.5" customHeight="1" x14ac:dyDescent="0.3">
      <c r="A91" s="35" t="s">
        <v>32</v>
      </c>
      <c r="B91" s="39">
        <v>822018</v>
      </c>
    </row>
    <row r="92" spans="1:7" ht="31.5" customHeight="1" x14ac:dyDescent="0.3">
      <c r="A92" s="35" t="s">
        <v>15</v>
      </c>
      <c r="B92" s="39" t="s">
        <v>34</v>
      </c>
    </row>
    <row r="93" spans="1:7" ht="31.5" customHeight="1" x14ac:dyDescent="0.3">
      <c r="A93" s="35" t="s">
        <v>36</v>
      </c>
      <c r="B93" s="39" t="s">
        <v>88</v>
      </c>
    </row>
    <row r="94" spans="1:7" ht="31.5" customHeight="1" x14ac:dyDescent="0.3">
      <c r="A94" s="35" t="s">
        <v>37</v>
      </c>
      <c r="B94" s="41">
        <v>44530</v>
      </c>
    </row>
    <row r="96" spans="1:7" ht="31.5" customHeight="1" x14ac:dyDescent="0.3">
      <c r="A96" s="47" t="s">
        <v>93</v>
      </c>
    </row>
    <row r="97" spans="1:7" ht="31.5" customHeight="1" x14ac:dyDescent="0.3">
      <c r="A97" s="48" t="s">
        <v>38</v>
      </c>
      <c r="B97" s="48" t="s">
        <v>39</v>
      </c>
      <c r="C97" s="48" t="s">
        <v>38</v>
      </c>
      <c r="D97" s="48" t="s">
        <v>39</v>
      </c>
      <c r="E97" s="48" t="s">
        <v>38</v>
      </c>
      <c r="F97" s="48" t="s">
        <v>39</v>
      </c>
    </row>
    <row r="98" spans="1:7" ht="31.5" customHeight="1" x14ac:dyDescent="0.3">
      <c r="A98" s="49">
        <v>15102321</v>
      </c>
      <c r="B98" s="49"/>
      <c r="C98" s="49">
        <v>15102325</v>
      </c>
      <c r="D98" s="49"/>
      <c r="E98" s="49">
        <v>15102329</v>
      </c>
      <c r="F98" s="49"/>
    </row>
    <row r="99" spans="1:7" ht="31.5" customHeight="1" x14ac:dyDescent="0.3">
      <c r="A99" s="49">
        <v>15102322</v>
      </c>
      <c r="B99" s="53"/>
      <c r="C99" s="49">
        <v>15102326</v>
      </c>
      <c r="D99" s="49"/>
      <c r="E99" s="49">
        <v>15102330</v>
      </c>
      <c r="F99" s="49"/>
    </row>
    <row r="100" spans="1:7" ht="31.5" customHeight="1" x14ac:dyDescent="0.3">
      <c r="A100" s="49">
        <v>15102323</v>
      </c>
      <c r="B100" s="49"/>
      <c r="C100" s="49">
        <v>15102327</v>
      </c>
      <c r="D100" s="49"/>
      <c r="E100" s="49">
        <v>15102331</v>
      </c>
      <c r="F100" s="49"/>
    </row>
    <row r="101" spans="1:7" ht="31.5" customHeight="1" x14ac:dyDescent="0.3">
      <c r="A101" s="49">
        <v>15102324</v>
      </c>
      <c r="B101" s="49"/>
      <c r="C101" s="49">
        <v>15102328</v>
      </c>
      <c r="D101" s="49"/>
      <c r="E101" s="49">
        <v>15102332</v>
      </c>
      <c r="F101" s="49"/>
    </row>
    <row r="103" spans="1:7" ht="31.5" customHeight="1" x14ac:dyDescent="0.35">
      <c r="A103" s="35" t="s">
        <v>105</v>
      </c>
      <c r="E103" s="50" t="s">
        <v>40</v>
      </c>
      <c r="F103" s="51">
        <v>12</v>
      </c>
    </row>
    <row r="104" spans="1:7" ht="31.5" customHeight="1" x14ac:dyDescent="0.3">
      <c r="A104" s="46">
        <v>1</v>
      </c>
      <c r="E104" s="52" t="s">
        <v>41</v>
      </c>
      <c r="F104" s="52"/>
    </row>
    <row r="105" spans="1:7" ht="31.5" customHeight="1" x14ac:dyDescent="0.3">
      <c r="E105" s="52" t="s">
        <v>42</v>
      </c>
      <c r="F105" s="52"/>
    </row>
    <row r="107" spans="1:7" ht="31.5" customHeight="1" x14ac:dyDescent="0.3">
      <c r="C107" s="36"/>
    </row>
    <row r="109" spans="1:7" ht="31.5" customHeight="1" x14ac:dyDescent="0.3">
      <c r="A109" s="54" t="s">
        <v>106</v>
      </c>
      <c r="C109" s="43"/>
      <c r="F109" s="55" t="s">
        <v>104</v>
      </c>
      <c r="G109" s="55"/>
    </row>
    <row r="111" spans="1:7" ht="31.5" customHeight="1" x14ac:dyDescent="0.3">
      <c r="A111" s="38" t="s">
        <v>31</v>
      </c>
    </row>
    <row r="112" spans="1:7" ht="31.5" customHeight="1" x14ac:dyDescent="0.3">
      <c r="A112" s="35" t="s">
        <v>35</v>
      </c>
      <c r="B112" s="39" t="s">
        <v>33</v>
      </c>
    </row>
    <row r="113" spans="1:6" ht="31.5" customHeight="1" x14ac:dyDescent="0.3">
      <c r="A113" s="35" t="s">
        <v>32</v>
      </c>
      <c r="B113" s="39">
        <v>822018</v>
      </c>
    </row>
    <row r="114" spans="1:6" ht="31.5" customHeight="1" x14ac:dyDescent="0.3">
      <c r="A114" s="35" t="s">
        <v>15</v>
      </c>
      <c r="B114" s="39" t="s">
        <v>34</v>
      </c>
    </row>
    <row r="115" spans="1:6" ht="31.5" customHeight="1" x14ac:dyDescent="0.3">
      <c r="A115" s="35" t="s">
        <v>36</v>
      </c>
      <c r="B115" s="39" t="s">
        <v>88</v>
      </c>
    </row>
    <row r="116" spans="1:6" ht="31.5" customHeight="1" x14ac:dyDescent="0.3">
      <c r="A116" s="35" t="s">
        <v>37</v>
      </c>
      <c r="B116" s="41">
        <v>44530</v>
      </c>
    </row>
    <row r="118" spans="1:6" ht="31.5" customHeight="1" x14ac:dyDescent="0.3">
      <c r="A118" s="47" t="s">
        <v>94</v>
      </c>
      <c r="B118" s="37"/>
    </row>
    <row r="119" spans="1:6" ht="31.5" customHeight="1" x14ac:dyDescent="0.3">
      <c r="A119" s="48" t="s">
        <v>38</v>
      </c>
      <c r="B119" s="48" t="s">
        <v>39</v>
      </c>
      <c r="C119" s="48" t="s">
        <v>38</v>
      </c>
      <c r="D119" s="48" t="s">
        <v>39</v>
      </c>
      <c r="E119" s="48" t="s">
        <v>38</v>
      </c>
      <c r="F119" s="48" t="s">
        <v>39</v>
      </c>
    </row>
    <row r="120" spans="1:6" ht="31.5" customHeight="1" x14ac:dyDescent="0.3">
      <c r="A120" s="49">
        <v>15102333</v>
      </c>
      <c r="B120" s="49"/>
      <c r="C120" s="49">
        <v>15102338</v>
      </c>
      <c r="D120" s="49"/>
      <c r="E120" s="49">
        <v>15102342</v>
      </c>
      <c r="F120" s="49"/>
    </row>
    <row r="121" spans="1:6" ht="31.5" customHeight="1" x14ac:dyDescent="0.3">
      <c r="A121" s="49">
        <v>15102334</v>
      </c>
      <c r="B121" s="49"/>
      <c r="C121" s="49">
        <v>15102339</v>
      </c>
      <c r="D121" s="49"/>
      <c r="E121" s="49">
        <v>15102343</v>
      </c>
      <c r="F121" s="49"/>
    </row>
    <row r="122" spans="1:6" ht="31.5" customHeight="1" x14ac:dyDescent="0.3">
      <c r="A122" s="49">
        <v>15102335</v>
      </c>
      <c r="B122" s="49"/>
      <c r="C122" s="49">
        <v>15102340</v>
      </c>
      <c r="D122" s="49"/>
      <c r="E122" s="49">
        <v>15102344</v>
      </c>
      <c r="F122" s="49"/>
    </row>
    <row r="123" spans="1:6" ht="31.5" customHeight="1" x14ac:dyDescent="0.3">
      <c r="A123" s="49">
        <v>15102336</v>
      </c>
      <c r="B123" s="49"/>
      <c r="C123" s="49">
        <v>15102341</v>
      </c>
      <c r="D123" s="49"/>
      <c r="E123" s="49">
        <v>15102345</v>
      </c>
      <c r="F123" s="49"/>
    </row>
    <row r="125" spans="1:6" ht="31.5" customHeight="1" x14ac:dyDescent="0.35">
      <c r="A125" s="35" t="s">
        <v>105</v>
      </c>
      <c r="E125" s="50" t="s">
        <v>40</v>
      </c>
      <c r="F125" s="51">
        <v>12</v>
      </c>
    </row>
    <row r="126" spans="1:6" ht="31.5" customHeight="1" x14ac:dyDescent="0.3">
      <c r="A126" s="46">
        <v>1</v>
      </c>
      <c r="E126" s="52" t="s">
        <v>41</v>
      </c>
      <c r="F126" s="52"/>
    </row>
    <row r="127" spans="1:6" ht="31.5" customHeight="1" x14ac:dyDescent="0.3">
      <c r="E127" s="52" t="s">
        <v>42</v>
      </c>
      <c r="F127" s="52"/>
    </row>
    <row r="129" spans="1:7" ht="31.5" customHeight="1" x14ac:dyDescent="0.3">
      <c r="C129" s="36"/>
    </row>
    <row r="131" spans="1:7" ht="31.5" customHeight="1" x14ac:dyDescent="0.3">
      <c r="A131" s="54" t="s">
        <v>106</v>
      </c>
      <c r="C131" s="43"/>
      <c r="F131" s="55" t="s">
        <v>104</v>
      </c>
      <c r="G131" s="55"/>
    </row>
    <row r="133" spans="1:7" ht="31.5" customHeight="1" x14ac:dyDescent="0.3">
      <c r="A133" s="38" t="s">
        <v>31</v>
      </c>
    </row>
    <row r="134" spans="1:7" ht="31.5" customHeight="1" x14ac:dyDescent="0.3">
      <c r="A134" s="35" t="s">
        <v>35</v>
      </c>
      <c r="B134" s="39" t="s">
        <v>33</v>
      </c>
    </row>
    <row r="135" spans="1:7" ht="31.5" customHeight="1" x14ac:dyDescent="0.3">
      <c r="A135" s="35" t="s">
        <v>32</v>
      </c>
      <c r="B135" s="39">
        <v>822018</v>
      </c>
    </row>
    <row r="136" spans="1:7" ht="31.5" customHeight="1" x14ac:dyDescent="0.3">
      <c r="A136" s="35" t="s">
        <v>15</v>
      </c>
      <c r="B136" s="39" t="s">
        <v>34</v>
      </c>
    </row>
    <row r="137" spans="1:7" ht="31.5" customHeight="1" x14ac:dyDescent="0.3">
      <c r="A137" s="35" t="s">
        <v>36</v>
      </c>
      <c r="B137" s="39" t="s">
        <v>88</v>
      </c>
    </row>
    <row r="138" spans="1:7" ht="31.5" customHeight="1" x14ac:dyDescent="0.3">
      <c r="A138" s="35" t="s">
        <v>37</v>
      </c>
      <c r="B138" s="41">
        <v>44530</v>
      </c>
    </row>
    <row r="140" spans="1:7" ht="31.5" customHeight="1" x14ac:dyDescent="0.3">
      <c r="A140" s="47" t="s">
        <v>95</v>
      </c>
    </row>
    <row r="141" spans="1:7" ht="31.5" customHeight="1" x14ac:dyDescent="0.3">
      <c r="A141" s="48" t="s">
        <v>38</v>
      </c>
      <c r="B141" s="48" t="s">
        <v>39</v>
      </c>
      <c r="C141" s="48" t="s">
        <v>38</v>
      </c>
      <c r="D141" s="48" t="s">
        <v>39</v>
      </c>
      <c r="E141" s="48" t="s">
        <v>38</v>
      </c>
      <c r="F141" s="48" t="s">
        <v>39</v>
      </c>
    </row>
    <row r="142" spans="1:7" ht="31.5" customHeight="1" x14ac:dyDescent="0.3">
      <c r="A142" s="49">
        <v>15102346</v>
      </c>
      <c r="B142" s="49"/>
      <c r="C142" s="49">
        <v>15102351</v>
      </c>
      <c r="D142" s="49"/>
      <c r="E142" s="49">
        <v>15102355</v>
      </c>
      <c r="F142" s="49"/>
    </row>
    <row r="143" spans="1:7" ht="31.5" customHeight="1" x14ac:dyDescent="0.3">
      <c r="A143" s="49">
        <v>15102347</v>
      </c>
      <c r="B143" s="49"/>
      <c r="C143" s="49">
        <v>15102352</v>
      </c>
      <c r="D143" s="49"/>
      <c r="E143" s="49">
        <v>15102356</v>
      </c>
      <c r="F143" s="49"/>
    </row>
    <row r="144" spans="1:7" ht="31.5" customHeight="1" x14ac:dyDescent="0.3">
      <c r="A144" s="49">
        <v>15102348</v>
      </c>
      <c r="B144" s="49"/>
      <c r="C144" s="49">
        <v>15102353</v>
      </c>
      <c r="D144" s="49"/>
      <c r="E144" s="49">
        <v>15102357</v>
      </c>
      <c r="F144" s="49"/>
    </row>
    <row r="145" spans="1:7" ht="31.5" customHeight="1" x14ac:dyDescent="0.3">
      <c r="A145" s="49">
        <v>15102350</v>
      </c>
      <c r="B145" s="49"/>
      <c r="C145" s="49">
        <v>15102354</v>
      </c>
      <c r="D145" s="49"/>
      <c r="E145" s="49">
        <v>15102358</v>
      </c>
      <c r="F145" s="49"/>
    </row>
    <row r="147" spans="1:7" ht="31.5" customHeight="1" x14ac:dyDescent="0.35">
      <c r="A147" s="35" t="s">
        <v>105</v>
      </c>
      <c r="E147" s="50" t="s">
        <v>40</v>
      </c>
      <c r="F147" s="51">
        <v>12</v>
      </c>
    </row>
    <row r="148" spans="1:7" ht="31.5" customHeight="1" x14ac:dyDescent="0.3">
      <c r="A148" s="46">
        <v>1</v>
      </c>
      <c r="E148" s="52" t="s">
        <v>41</v>
      </c>
      <c r="F148" s="52"/>
    </row>
    <row r="149" spans="1:7" ht="31.5" customHeight="1" x14ac:dyDescent="0.3">
      <c r="E149" s="52" t="s">
        <v>42</v>
      </c>
      <c r="F149" s="52"/>
    </row>
    <row r="151" spans="1:7" ht="31.5" customHeight="1" x14ac:dyDescent="0.3">
      <c r="C151" s="36"/>
    </row>
    <row r="153" spans="1:7" ht="31.5" customHeight="1" x14ac:dyDescent="0.3">
      <c r="A153" s="54" t="s">
        <v>106</v>
      </c>
      <c r="C153" s="43"/>
      <c r="F153" s="55" t="s">
        <v>104</v>
      </c>
      <c r="G153" s="55"/>
    </row>
    <row r="155" spans="1:7" ht="31.5" customHeight="1" x14ac:dyDescent="0.3">
      <c r="A155" s="38" t="s">
        <v>31</v>
      </c>
    </row>
    <row r="156" spans="1:7" ht="31.5" customHeight="1" x14ac:dyDescent="0.3">
      <c r="A156" s="35" t="s">
        <v>35</v>
      </c>
      <c r="B156" s="39" t="s">
        <v>33</v>
      </c>
    </row>
    <row r="157" spans="1:7" ht="31.5" customHeight="1" x14ac:dyDescent="0.3">
      <c r="A157" s="35" t="s">
        <v>32</v>
      </c>
      <c r="B157" s="39">
        <v>822018</v>
      </c>
    </row>
    <row r="158" spans="1:7" ht="31.5" customHeight="1" x14ac:dyDescent="0.3">
      <c r="A158" s="35" t="s">
        <v>15</v>
      </c>
      <c r="B158" s="39" t="s">
        <v>34</v>
      </c>
    </row>
    <row r="159" spans="1:7" ht="31.5" customHeight="1" x14ac:dyDescent="0.3">
      <c r="A159" s="35" t="s">
        <v>36</v>
      </c>
      <c r="B159" s="39" t="s">
        <v>88</v>
      </c>
    </row>
    <row r="160" spans="1:7" ht="31.5" customHeight="1" x14ac:dyDescent="0.3">
      <c r="A160" s="35" t="s">
        <v>37</v>
      </c>
      <c r="B160" s="41">
        <v>44530</v>
      </c>
    </row>
    <row r="162" spans="1:7" ht="31.5" customHeight="1" x14ac:dyDescent="0.3">
      <c r="A162" s="47" t="s">
        <v>96</v>
      </c>
    </row>
    <row r="163" spans="1:7" ht="31.5" customHeight="1" x14ac:dyDescent="0.3">
      <c r="A163" s="48" t="s">
        <v>38</v>
      </c>
      <c r="B163" s="48" t="s">
        <v>39</v>
      </c>
      <c r="C163" s="48" t="s">
        <v>38</v>
      </c>
      <c r="D163" s="48" t="s">
        <v>39</v>
      </c>
      <c r="E163" s="48" t="s">
        <v>38</v>
      </c>
      <c r="F163" s="48" t="s">
        <v>39</v>
      </c>
    </row>
    <row r="164" spans="1:7" ht="31.5" customHeight="1" x14ac:dyDescent="0.3">
      <c r="A164" s="49">
        <v>15102359</v>
      </c>
      <c r="B164" s="49"/>
      <c r="C164" s="49">
        <v>15102363</v>
      </c>
      <c r="D164" s="49"/>
      <c r="E164" s="49">
        <v>15102367</v>
      </c>
      <c r="F164" s="49"/>
    </row>
    <row r="165" spans="1:7" ht="31.5" customHeight="1" x14ac:dyDescent="0.3">
      <c r="A165" s="49">
        <v>15102360</v>
      </c>
      <c r="B165" s="49"/>
      <c r="C165" s="49">
        <v>15102364</v>
      </c>
      <c r="D165" s="49"/>
      <c r="E165" s="49">
        <v>15102368</v>
      </c>
      <c r="F165" s="49"/>
    </row>
    <row r="166" spans="1:7" ht="31.5" customHeight="1" x14ac:dyDescent="0.3">
      <c r="A166" s="49">
        <v>15102361</v>
      </c>
      <c r="B166" s="49"/>
      <c r="C166" s="49">
        <v>15102365</v>
      </c>
      <c r="D166" s="49"/>
      <c r="E166" s="49">
        <v>15102369</v>
      </c>
      <c r="F166" s="49"/>
    </row>
    <row r="167" spans="1:7" ht="31.5" customHeight="1" x14ac:dyDescent="0.3">
      <c r="A167" s="49">
        <v>15102362</v>
      </c>
      <c r="B167" s="49"/>
      <c r="C167" s="49">
        <v>15102366</v>
      </c>
      <c r="D167" s="49"/>
      <c r="E167" s="49">
        <v>15102370</v>
      </c>
      <c r="F167" s="49"/>
    </row>
    <row r="169" spans="1:7" ht="31.5" customHeight="1" x14ac:dyDescent="0.35">
      <c r="A169" s="35" t="s">
        <v>105</v>
      </c>
      <c r="E169" s="50" t="s">
        <v>40</v>
      </c>
      <c r="F169" s="51">
        <v>12</v>
      </c>
    </row>
    <row r="170" spans="1:7" ht="31.5" customHeight="1" x14ac:dyDescent="0.3">
      <c r="A170" s="46">
        <v>1</v>
      </c>
      <c r="E170" s="52" t="s">
        <v>41</v>
      </c>
      <c r="F170" s="52"/>
    </row>
    <row r="171" spans="1:7" ht="31.5" customHeight="1" x14ac:dyDescent="0.3">
      <c r="E171" s="52" t="s">
        <v>42</v>
      </c>
      <c r="F171" s="52"/>
    </row>
    <row r="175" spans="1:7" ht="31.5" customHeight="1" x14ac:dyDescent="0.3">
      <c r="A175" s="54" t="s">
        <v>106</v>
      </c>
      <c r="C175" s="43"/>
      <c r="F175" s="55" t="s">
        <v>104</v>
      </c>
      <c r="G175" s="55"/>
    </row>
    <row r="177" spans="1:6" ht="31.5" customHeight="1" x14ac:dyDescent="0.3">
      <c r="A177" s="38" t="s">
        <v>31</v>
      </c>
    </row>
    <row r="178" spans="1:6" ht="31.5" customHeight="1" x14ac:dyDescent="0.3">
      <c r="A178" s="35" t="s">
        <v>35</v>
      </c>
      <c r="B178" s="39" t="s">
        <v>33</v>
      </c>
    </row>
    <row r="179" spans="1:6" ht="31.5" customHeight="1" x14ac:dyDescent="0.3">
      <c r="A179" s="35" t="s">
        <v>32</v>
      </c>
      <c r="B179" s="39">
        <v>822018</v>
      </c>
    </row>
    <row r="180" spans="1:6" ht="31.5" customHeight="1" x14ac:dyDescent="0.3">
      <c r="A180" s="35" t="s">
        <v>15</v>
      </c>
      <c r="B180" s="39" t="s">
        <v>34</v>
      </c>
    </row>
    <row r="181" spans="1:6" ht="31.5" customHeight="1" x14ac:dyDescent="0.3">
      <c r="A181" s="35" t="s">
        <v>36</v>
      </c>
      <c r="B181" s="39" t="s">
        <v>88</v>
      </c>
    </row>
    <row r="182" spans="1:6" ht="31.5" customHeight="1" x14ac:dyDescent="0.3">
      <c r="A182" s="35" t="s">
        <v>37</v>
      </c>
      <c r="B182" s="41">
        <v>44530</v>
      </c>
    </row>
    <row r="184" spans="1:6" ht="31.5" customHeight="1" x14ac:dyDescent="0.3">
      <c r="A184" s="47" t="s">
        <v>97</v>
      </c>
    </row>
    <row r="185" spans="1:6" ht="31.5" customHeight="1" x14ac:dyDescent="0.3">
      <c r="A185" s="48" t="s">
        <v>38</v>
      </c>
      <c r="B185" s="48" t="s">
        <v>39</v>
      </c>
      <c r="C185" s="48" t="s">
        <v>38</v>
      </c>
      <c r="D185" s="48" t="s">
        <v>39</v>
      </c>
      <c r="E185" s="48" t="s">
        <v>38</v>
      </c>
      <c r="F185" s="48" t="s">
        <v>39</v>
      </c>
    </row>
    <row r="186" spans="1:6" ht="31.5" customHeight="1" x14ac:dyDescent="0.3">
      <c r="A186" s="49">
        <v>15102371</v>
      </c>
      <c r="B186" s="49"/>
      <c r="C186" s="49">
        <v>15102375</v>
      </c>
      <c r="D186" s="49"/>
      <c r="E186" s="49">
        <v>15102379</v>
      </c>
      <c r="F186" s="49"/>
    </row>
    <row r="187" spans="1:6" ht="31.5" customHeight="1" x14ac:dyDescent="0.3">
      <c r="A187" s="49">
        <v>15102372</v>
      </c>
      <c r="B187" s="49"/>
      <c r="C187" s="49">
        <v>15102376</v>
      </c>
      <c r="D187" s="49"/>
      <c r="E187" s="49">
        <v>15102380</v>
      </c>
      <c r="F187" s="49"/>
    </row>
    <row r="188" spans="1:6" ht="31.5" customHeight="1" x14ac:dyDescent="0.3">
      <c r="A188" s="49">
        <v>15102373</v>
      </c>
      <c r="B188" s="49"/>
      <c r="C188" s="49">
        <v>15102377</v>
      </c>
      <c r="D188" s="49"/>
      <c r="E188" s="49">
        <v>15102381</v>
      </c>
      <c r="F188" s="49"/>
    </row>
    <row r="189" spans="1:6" ht="31.5" customHeight="1" x14ac:dyDescent="0.3">
      <c r="A189" s="49">
        <v>15102374</v>
      </c>
      <c r="B189" s="49"/>
      <c r="C189" s="49">
        <v>15102378</v>
      </c>
      <c r="D189" s="49"/>
      <c r="E189" s="49">
        <v>15102382</v>
      </c>
      <c r="F189" s="49"/>
    </row>
    <row r="191" spans="1:6" ht="31.5" customHeight="1" x14ac:dyDescent="0.35">
      <c r="A191" s="35" t="s">
        <v>105</v>
      </c>
      <c r="E191" s="50" t="s">
        <v>40</v>
      </c>
      <c r="F191" s="51">
        <v>12</v>
      </c>
    </row>
    <row r="192" spans="1:6" ht="31.5" customHeight="1" x14ac:dyDescent="0.3">
      <c r="A192" s="46">
        <v>1</v>
      </c>
      <c r="E192" s="52" t="s">
        <v>41</v>
      </c>
      <c r="F192" s="52"/>
    </row>
    <row r="193" spans="1:7" ht="31.5" customHeight="1" x14ac:dyDescent="0.3">
      <c r="E193" s="52" t="s">
        <v>42</v>
      </c>
      <c r="F193" s="52"/>
    </row>
    <row r="197" spans="1:7" ht="31.5" customHeight="1" x14ac:dyDescent="0.3">
      <c r="A197" s="54" t="s">
        <v>106</v>
      </c>
      <c r="C197" s="43"/>
      <c r="F197" s="55" t="s">
        <v>104</v>
      </c>
      <c r="G197" s="55"/>
    </row>
    <row r="199" spans="1:7" ht="31.5" customHeight="1" x14ac:dyDescent="0.3">
      <c r="A199" s="38" t="s">
        <v>31</v>
      </c>
    </row>
    <row r="200" spans="1:7" ht="31.5" customHeight="1" x14ac:dyDescent="0.3">
      <c r="A200" s="35" t="s">
        <v>35</v>
      </c>
      <c r="B200" s="39" t="s">
        <v>33</v>
      </c>
    </row>
    <row r="201" spans="1:7" ht="31.5" customHeight="1" x14ac:dyDescent="0.3">
      <c r="A201" s="35" t="s">
        <v>32</v>
      </c>
      <c r="B201" s="39">
        <v>822018</v>
      </c>
    </row>
    <row r="202" spans="1:7" ht="31.5" customHeight="1" x14ac:dyDescent="0.3">
      <c r="A202" s="35" t="s">
        <v>15</v>
      </c>
      <c r="B202" s="39" t="s">
        <v>34</v>
      </c>
    </row>
    <row r="203" spans="1:7" ht="31.5" customHeight="1" x14ac:dyDescent="0.3">
      <c r="A203" s="35" t="s">
        <v>36</v>
      </c>
      <c r="B203" s="39" t="s">
        <v>88</v>
      </c>
    </row>
    <row r="204" spans="1:7" ht="31.5" customHeight="1" x14ac:dyDescent="0.3">
      <c r="A204" s="35" t="s">
        <v>37</v>
      </c>
      <c r="B204" s="41">
        <v>44530</v>
      </c>
    </row>
    <row r="206" spans="1:7" ht="31.5" customHeight="1" x14ac:dyDescent="0.3">
      <c r="A206" s="47" t="s">
        <v>98</v>
      </c>
    </row>
    <row r="207" spans="1:7" ht="31.5" customHeight="1" x14ac:dyDescent="0.3">
      <c r="A207" s="48" t="s">
        <v>38</v>
      </c>
      <c r="B207" s="48" t="s">
        <v>39</v>
      </c>
      <c r="C207" s="48" t="s">
        <v>38</v>
      </c>
      <c r="D207" s="48" t="s">
        <v>39</v>
      </c>
      <c r="E207" s="48" t="s">
        <v>38</v>
      </c>
      <c r="F207" s="48" t="s">
        <v>39</v>
      </c>
    </row>
    <row r="208" spans="1:7" ht="31.5" customHeight="1" x14ac:dyDescent="0.3">
      <c r="A208" s="49">
        <v>15102383</v>
      </c>
      <c r="B208" s="49"/>
      <c r="C208" s="49">
        <v>15102387</v>
      </c>
      <c r="D208" s="49"/>
      <c r="E208" s="49">
        <v>15102391</v>
      </c>
      <c r="F208" s="49"/>
    </row>
    <row r="209" spans="1:7" ht="31.5" customHeight="1" x14ac:dyDescent="0.3">
      <c r="A209" s="49">
        <v>15102384</v>
      </c>
      <c r="B209" s="49"/>
      <c r="C209" s="49">
        <v>15102388</v>
      </c>
      <c r="D209" s="49"/>
      <c r="E209" s="49">
        <v>15102392</v>
      </c>
      <c r="F209" s="49"/>
    </row>
    <row r="210" spans="1:7" ht="31.5" customHeight="1" x14ac:dyDescent="0.3">
      <c r="A210" s="49">
        <v>15102385</v>
      </c>
      <c r="B210" s="49"/>
      <c r="C210" s="49">
        <v>15102389</v>
      </c>
      <c r="D210" s="49"/>
      <c r="E210" s="49">
        <v>15102393</v>
      </c>
      <c r="F210" s="49"/>
    </row>
    <row r="211" spans="1:7" ht="31.5" customHeight="1" x14ac:dyDescent="0.3">
      <c r="A211" s="49">
        <v>15102386</v>
      </c>
      <c r="B211" s="49"/>
      <c r="C211" s="49">
        <v>15102390</v>
      </c>
      <c r="D211" s="49"/>
      <c r="E211" s="49">
        <v>15102394</v>
      </c>
      <c r="F211" s="49"/>
    </row>
    <row r="213" spans="1:7" ht="31.5" customHeight="1" x14ac:dyDescent="0.35">
      <c r="A213" s="35" t="s">
        <v>105</v>
      </c>
      <c r="E213" s="50" t="s">
        <v>40</v>
      </c>
      <c r="F213" s="51">
        <v>12</v>
      </c>
    </row>
    <row r="214" spans="1:7" ht="31.5" customHeight="1" x14ac:dyDescent="0.3">
      <c r="A214" s="46">
        <v>1</v>
      </c>
      <c r="E214" s="52" t="s">
        <v>41</v>
      </c>
      <c r="F214" s="52"/>
    </row>
    <row r="215" spans="1:7" ht="31.5" customHeight="1" x14ac:dyDescent="0.3">
      <c r="E215" s="52" t="s">
        <v>42</v>
      </c>
      <c r="F215" s="52"/>
    </row>
    <row r="219" spans="1:7" ht="31.5" customHeight="1" x14ac:dyDescent="0.3">
      <c r="A219" s="54" t="s">
        <v>106</v>
      </c>
      <c r="C219" s="43"/>
      <c r="F219" s="55" t="s">
        <v>104</v>
      </c>
      <c r="G219" s="55"/>
    </row>
    <row r="221" spans="1:7" ht="31.5" customHeight="1" x14ac:dyDescent="0.3">
      <c r="A221" s="38" t="s">
        <v>31</v>
      </c>
    </row>
    <row r="222" spans="1:7" ht="31.5" customHeight="1" x14ac:dyDescent="0.3">
      <c r="A222" s="35" t="s">
        <v>35</v>
      </c>
      <c r="B222" s="39" t="s">
        <v>33</v>
      </c>
    </row>
    <row r="223" spans="1:7" ht="31.5" customHeight="1" x14ac:dyDescent="0.3">
      <c r="A223" s="35" t="s">
        <v>32</v>
      </c>
      <c r="B223" s="39">
        <v>822018</v>
      </c>
    </row>
    <row r="224" spans="1:7" ht="31.5" customHeight="1" x14ac:dyDescent="0.3">
      <c r="A224" s="35" t="s">
        <v>15</v>
      </c>
      <c r="B224" s="39" t="s">
        <v>34</v>
      </c>
    </row>
    <row r="225" spans="1:6" ht="31.5" customHeight="1" x14ac:dyDescent="0.3">
      <c r="A225" s="35" t="s">
        <v>36</v>
      </c>
      <c r="B225" s="39" t="s">
        <v>88</v>
      </c>
    </row>
    <row r="226" spans="1:6" ht="31.5" customHeight="1" x14ac:dyDescent="0.3">
      <c r="A226" s="35" t="s">
        <v>37</v>
      </c>
      <c r="B226" s="41">
        <v>44530</v>
      </c>
    </row>
    <row r="228" spans="1:6" ht="31.5" customHeight="1" x14ac:dyDescent="0.3">
      <c r="A228" s="47" t="s">
        <v>99</v>
      </c>
    </row>
    <row r="229" spans="1:6" ht="31.5" customHeight="1" x14ac:dyDescent="0.3">
      <c r="A229" s="48" t="s">
        <v>38</v>
      </c>
      <c r="B229" s="48" t="s">
        <v>39</v>
      </c>
      <c r="C229" s="48" t="s">
        <v>38</v>
      </c>
      <c r="D229" s="48" t="s">
        <v>39</v>
      </c>
      <c r="E229" s="48" t="s">
        <v>38</v>
      </c>
      <c r="F229" s="48" t="s">
        <v>39</v>
      </c>
    </row>
    <row r="230" spans="1:6" ht="31.5" customHeight="1" x14ac:dyDescent="0.3">
      <c r="A230" s="49">
        <v>15102395</v>
      </c>
      <c r="B230" s="49"/>
      <c r="C230" s="49">
        <v>15102399</v>
      </c>
      <c r="D230" s="49"/>
      <c r="E230" s="49">
        <v>15102403</v>
      </c>
      <c r="F230" s="49"/>
    </row>
    <row r="231" spans="1:6" ht="31.5" customHeight="1" x14ac:dyDescent="0.3">
      <c r="A231" s="49">
        <v>15102396</v>
      </c>
      <c r="B231" s="49"/>
      <c r="C231" s="49">
        <v>15102400</v>
      </c>
      <c r="D231" s="49"/>
      <c r="E231" s="49">
        <v>15102404</v>
      </c>
      <c r="F231" s="49"/>
    </row>
    <row r="232" spans="1:6" ht="31.5" customHeight="1" x14ac:dyDescent="0.3">
      <c r="A232" s="49">
        <v>15102397</v>
      </c>
      <c r="B232" s="49"/>
      <c r="C232" s="49">
        <v>15102401</v>
      </c>
      <c r="D232" s="49"/>
      <c r="E232" s="49">
        <v>15102405</v>
      </c>
      <c r="F232" s="49"/>
    </row>
    <row r="233" spans="1:6" ht="31.5" customHeight="1" x14ac:dyDescent="0.3">
      <c r="A233" s="49">
        <v>15102398</v>
      </c>
      <c r="B233" s="49"/>
      <c r="C233" s="49">
        <v>15102402</v>
      </c>
      <c r="D233" s="49"/>
      <c r="E233" s="49">
        <v>15102406</v>
      </c>
      <c r="F233" s="49"/>
    </row>
    <row r="235" spans="1:6" ht="31.5" customHeight="1" x14ac:dyDescent="0.35">
      <c r="A235" s="35" t="s">
        <v>105</v>
      </c>
      <c r="E235" s="50" t="s">
        <v>40</v>
      </c>
      <c r="F235" s="51">
        <v>12</v>
      </c>
    </row>
    <row r="236" spans="1:6" ht="31.5" customHeight="1" x14ac:dyDescent="0.3">
      <c r="A236" s="46">
        <v>1</v>
      </c>
      <c r="E236" s="52" t="s">
        <v>41</v>
      </c>
      <c r="F236" s="52"/>
    </row>
    <row r="237" spans="1:6" ht="31.5" customHeight="1" x14ac:dyDescent="0.3">
      <c r="E237" s="52" t="s">
        <v>42</v>
      </c>
      <c r="F237" s="52"/>
    </row>
    <row r="241" spans="1:7" ht="31.5" customHeight="1" x14ac:dyDescent="0.3">
      <c r="A241" s="54" t="s">
        <v>106</v>
      </c>
      <c r="C241" s="43"/>
      <c r="F241" s="55" t="s">
        <v>104</v>
      </c>
      <c r="G241" s="55"/>
    </row>
    <row r="243" spans="1:7" ht="31.5" customHeight="1" x14ac:dyDescent="0.3">
      <c r="A243" s="38" t="s">
        <v>31</v>
      </c>
    </row>
    <row r="244" spans="1:7" ht="31.5" customHeight="1" x14ac:dyDescent="0.3">
      <c r="A244" s="35" t="s">
        <v>35</v>
      </c>
      <c r="B244" s="39" t="s">
        <v>33</v>
      </c>
    </row>
    <row r="245" spans="1:7" ht="31.5" customHeight="1" x14ac:dyDescent="0.3">
      <c r="A245" s="35" t="s">
        <v>32</v>
      </c>
      <c r="B245" s="39">
        <v>822018</v>
      </c>
    </row>
    <row r="246" spans="1:7" ht="31.5" customHeight="1" x14ac:dyDescent="0.3">
      <c r="A246" s="35" t="s">
        <v>15</v>
      </c>
      <c r="B246" s="39" t="s">
        <v>34</v>
      </c>
    </row>
    <row r="247" spans="1:7" ht="31.5" customHeight="1" x14ac:dyDescent="0.3">
      <c r="A247" s="35" t="s">
        <v>36</v>
      </c>
      <c r="B247" s="39" t="s">
        <v>88</v>
      </c>
    </row>
    <row r="248" spans="1:7" ht="31.5" customHeight="1" x14ac:dyDescent="0.3">
      <c r="A248" s="35" t="s">
        <v>37</v>
      </c>
      <c r="B248" s="41">
        <v>44530</v>
      </c>
    </row>
    <row r="250" spans="1:7" ht="31.5" customHeight="1" x14ac:dyDescent="0.3">
      <c r="A250" s="47" t="s">
        <v>100</v>
      </c>
    </row>
    <row r="251" spans="1:7" ht="31.5" customHeight="1" x14ac:dyDescent="0.3">
      <c r="A251" s="48" t="s">
        <v>38</v>
      </c>
      <c r="B251" s="48" t="s">
        <v>39</v>
      </c>
      <c r="C251" s="48" t="s">
        <v>38</v>
      </c>
      <c r="D251" s="48" t="s">
        <v>39</v>
      </c>
      <c r="E251" s="48" t="s">
        <v>38</v>
      </c>
      <c r="F251" s="48" t="s">
        <v>39</v>
      </c>
    </row>
    <row r="252" spans="1:7" ht="31.5" customHeight="1" x14ac:dyDescent="0.3">
      <c r="A252" s="49">
        <v>15102407</v>
      </c>
      <c r="B252" s="49"/>
      <c r="C252" s="49">
        <v>15102411</v>
      </c>
      <c r="D252" s="49"/>
      <c r="E252" s="49">
        <v>15102415</v>
      </c>
      <c r="F252" s="49"/>
    </row>
    <row r="253" spans="1:7" ht="31.5" customHeight="1" x14ac:dyDescent="0.3">
      <c r="A253" s="49">
        <v>15102408</v>
      </c>
      <c r="B253" s="49"/>
      <c r="C253" s="49">
        <v>15102412</v>
      </c>
      <c r="D253" s="49"/>
      <c r="E253" s="49">
        <v>15102416</v>
      </c>
      <c r="F253" s="49"/>
    </row>
    <row r="254" spans="1:7" ht="31.5" customHeight="1" x14ac:dyDescent="0.3">
      <c r="A254" s="49">
        <v>15102409</v>
      </c>
      <c r="B254" s="49"/>
      <c r="C254" s="49">
        <v>15102413</v>
      </c>
      <c r="D254" s="49"/>
      <c r="E254" s="49">
        <v>15102417</v>
      </c>
      <c r="F254" s="49"/>
    </row>
    <row r="255" spans="1:7" ht="31.5" customHeight="1" x14ac:dyDescent="0.3">
      <c r="A255" s="49">
        <v>15102410</v>
      </c>
      <c r="B255" s="49"/>
      <c r="C255" s="49">
        <v>15102414</v>
      </c>
      <c r="D255" s="49"/>
      <c r="E255" s="49">
        <v>15102418</v>
      </c>
      <c r="F255" s="49"/>
    </row>
    <row r="257" spans="1:7" ht="31.5" customHeight="1" x14ac:dyDescent="0.35">
      <c r="A257" s="35" t="s">
        <v>105</v>
      </c>
      <c r="E257" s="50" t="s">
        <v>40</v>
      </c>
      <c r="F257" s="51">
        <v>12</v>
      </c>
    </row>
    <row r="258" spans="1:7" ht="31.5" customHeight="1" x14ac:dyDescent="0.3">
      <c r="A258" s="46">
        <v>1</v>
      </c>
      <c r="E258" s="52" t="s">
        <v>41</v>
      </c>
      <c r="F258" s="52"/>
    </row>
    <row r="259" spans="1:7" ht="31.5" customHeight="1" x14ac:dyDescent="0.3">
      <c r="E259" s="52" t="s">
        <v>42</v>
      </c>
      <c r="F259" s="52"/>
    </row>
    <row r="263" spans="1:7" ht="31.5" customHeight="1" x14ac:dyDescent="0.3">
      <c r="A263" s="54" t="s">
        <v>106</v>
      </c>
      <c r="C263" s="43"/>
      <c r="F263" s="55" t="s">
        <v>104</v>
      </c>
      <c r="G263" s="55"/>
    </row>
    <row r="265" spans="1:7" ht="31.5" customHeight="1" x14ac:dyDescent="0.3">
      <c r="A265" s="38" t="s">
        <v>31</v>
      </c>
    </row>
    <row r="266" spans="1:7" ht="31.5" customHeight="1" x14ac:dyDescent="0.3">
      <c r="A266" s="35" t="s">
        <v>35</v>
      </c>
      <c r="B266" s="39" t="s">
        <v>33</v>
      </c>
    </row>
    <row r="267" spans="1:7" ht="31.5" customHeight="1" x14ac:dyDescent="0.3">
      <c r="A267" s="35" t="s">
        <v>32</v>
      </c>
      <c r="B267" s="39">
        <v>822018</v>
      </c>
    </row>
    <row r="268" spans="1:7" ht="31.5" customHeight="1" x14ac:dyDescent="0.3">
      <c r="A268" s="35" t="s">
        <v>15</v>
      </c>
      <c r="B268" s="39" t="s">
        <v>34</v>
      </c>
    </row>
    <row r="269" spans="1:7" ht="31.5" customHeight="1" x14ac:dyDescent="0.3">
      <c r="A269" s="35" t="s">
        <v>36</v>
      </c>
      <c r="B269" s="39" t="s">
        <v>88</v>
      </c>
    </row>
    <row r="270" spans="1:7" ht="31.5" customHeight="1" x14ac:dyDescent="0.3">
      <c r="A270" s="35" t="s">
        <v>37</v>
      </c>
      <c r="B270" s="41">
        <v>44530</v>
      </c>
    </row>
    <row r="272" spans="1:7" ht="31.5" customHeight="1" x14ac:dyDescent="0.3">
      <c r="A272" s="47" t="s">
        <v>101</v>
      </c>
    </row>
    <row r="273" spans="1:7" ht="31.5" customHeight="1" x14ac:dyDescent="0.3">
      <c r="A273" s="48" t="s">
        <v>38</v>
      </c>
      <c r="B273" s="48" t="s">
        <v>39</v>
      </c>
      <c r="C273" s="48" t="s">
        <v>38</v>
      </c>
      <c r="D273" s="48" t="s">
        <v>39</v>
      </c>
      <c r="E273" s="48" t="s">
        <v>38</v>
      </c>
      <c r="F273" s="48" t="s">
        <v>39</v>
      </c>
    </row>
    <row r="274" spans="1:7" ht="31.5" customHeight="1" x14ac:dyDescent="0.3">
      <c r="A274" s="49">
        <v>15102419</v>
      </c>
      <c r="B274" s="49"/>
      <c r="C274" s="49">
        <v>15102423</v>
      </c>
      <c r="D274" s="49"/>
      <c r="E274" s="49">
        <v>15102427</v>
      </c>
      <c r="F274" s="49"/>
    </row>
    <row r="275" spans="1:7" ht="31.5" customHeight="1" x14ac:dyDescent="0.3">
      <c r="A275" s="49">
        <v>15102420</v>
      </c>
      <c r="B275" s="49"/>
      <c r="C275" s="49">
        <v>15102424</v>
      </c>
      <c r="D275" s="49"/>
      <c r="E275" s="49">
        <v>15102428</v>
      </c>
      <c r="F275" s="49"/>
    </row>
    <row r="276" spans="1:7" ht="31.5" customHeight="1" x14ac:dyDescent="0.3">
      <c r="A276" s="49">
        <v>15102421</v>
      </c>
      <c r="B276" s="49"/>
      <c r="C276" s="49">
        <v>15102425</v>
      </c>
      <c r="D276" s="49"/>
      <c r="E276" s="49">
        <v>15102429</v>
      </c>
      <c r="F276" s="49"/>
    </row>
    <row r="277" spans="1:7" ht="31.5" customHeight="1" x14ac:dyDescent="0.3">
      <c r="A277" s="49">
        <v>15102422</v>
      </c>
      <c r="B277" s="49"/>
      <c r="C277" s="49">
        <v>15102426</v>
      </c>
      <c r="D277" s="49"/>
      <c r="E277" s="49">
        <v>15102430</v>
      </c>
      <c r="F277" s="49"/>
    </row>
    <row r="279" spans="1:7" ht="31.5" customHeight="1" x14ac:dyDescent="0.35">
      <c r="A279" s="35" t="s">
        <v>105</v>
      </c>
      <c r="E279" s="50" t="s">
        <v>40</v>
      </c>
      <c r="F279" s="51">
        <v>12</v>
      </c>
    </row>
    <row r="280" spans="1:7" ht="31.5" customHeight="1" x14ac:dyDescent="0.3">
      <c r="A280" s="46">
        <v>1</v>
      </c>
      <c r="E280" s="52" t="s">
        <v>41</v>
      </c>
      <c r="F280" s="52"/>
    </row>
    <row r="281" spans="1:7" ht="31.5" customHeight="1" x14ac:dyDescent="0.3">
      <c r="E281" s="52" t="s">
        <v>42</v>
      </c>
      <c r="F281" s="52"/>
    </row>
    <row r="285" spans="1:7" ht="31.5" customHeight="1" x14ac:dyDescent="0.3">
      <c r="A285" s="54" t="s">
        <v>106</v>
      </c>
      <c r="C285" s="43"/>
      <c r="F285" s="55" t="s">
        <v>104</v>
      </c>
      <c r="G285" s="55"/>
    </row>
    <row r="287" spans="1:7" ht="31.5" customHeight="1" x14ac:dyDescent="0.3">
      <c r="A287" s="38" t="s">
        <v>31</v>
      </c>
    </row>
    <row r="288" spans="1:7" ht="31.5" customHeight="1" x14ac:dyDescent="0.3">
      <c r="A288" s="35" t="s">
        <v>35</v>
      </c>
      <c r="B288" s="39" t="s">
        <v>33</v>
      </c>
    </row>
    <row r="289" spans="1:6" ht="31.5" customHeight="1" x14ac:dyDescent="0.3">
      <c r="A289" s="35" t="s">
        <v>32</v>
      </c>
      <c r="B289" s="39">
        <v>822018</v>
      </c>
    </row>
    <row r="290" spans="1:6" ht="31.5" customHeight="1" x14ac:dyDescent="0.3">
      <c r="A290" s="35" t="s">
        <v>15</v>
      </c>
      <c r="B290" s="39" t="s">
        <v>34</v>
      </c>
    </row>
    <row r="291" spans="1:6" ht="31.5" customHeight="1" x14ac:dyDescent="0.3">
      <c r="A291" s="35" t="s">
        <v>36</v>
      </c>
      <c r="B291" s="39" t="s">
        <v>88</v>
      </c>
    </row>
    <row r="292" spans="1:6" ht="31.5" customHeight="1" x14ac:dyDescent="0.3">
      <c r="A292" s="35" t="s">
        <v>37</v>
      </c>
      <c r="B292" s="41">
        <v>44530</v>
      </c>
    </row>
    <row r="294" spans="1:6" ht="31.5" customHeight="1" x14ac:dyDescent="0.3">
      <c r="A294" s="47" t="s">
        <v>102</v>
      </c>
    </row>
    <row r="295" spans="1:6" ht="31.5" customHeight="1" x14ac:dyDescent="0.3">
      <c r="A295" s="48" t="s">
        <v>38</v>
      </c>
      <c r="B295" s="48" t="s">
        <v>39</v>
      </c>
      <c r="C295" s="48" t="s">
        <v>38</v>
      </c>
      <c r="D295" s="48" t="s">
        <v>39</v>
      </c>
      <c r="E295" s="48" t="s">
        <v>38</v>
      </c>
      <c r="F295" s="48" t="s">
        <v>39</v>
      </c>
    </row>
    <row r="296" spans="1:6" ht="31.5" customHeight="1" x14ac:dyDescent="0.3">
      <c r="A296" s="49">
        <v>15102431</v>
      </c>
      <c r="B296" s="49"/>
      <c r="C296" s="49">
        <v>15102435</v>
      </c>
      <c r="D296" s="49"/>
      <c r="E296" s="49">
        <v>15102439</v>
      </c>
      <c r="F296" s="49"/>
    </row>
    <row r="297" spans="1:6" ht="31.5" customHeight="1" x14ac:dyDescent="0.3">
      <c r="A297" s="49">
        <v>15102432</v>
      </c>
      <c r="B297" s="49"/>
      <c r="C297" s="49">
        <v>15102436</v>
      </c>
      <c r="D297" s="49"/>
      <c r="E297" s="49">
        <v>15102440</v>
      </c>
      <c r="F297" s="49"/>
    </row>
    <row r="298" spans="1:6" ht="31.5" customHeight="1" x14ac:dyDescent="0.3">
      <c r="A298" s="49">
        <v>15102433</v>
      </c>
      <c r="B298" s="49"/>
      <c r="C298" s="49">
        <v>15102437</v>
      </c>
      <c r="D298" s="49"/>
    </row>
    <row r="299" spans="1:6" ht="31.5" customHeight="1" x14ac:dyDescent="0.3">
      <c r="A299" s="49">
        <v>15102434</v>
      </c>
      <c r="B299" s="49"/>
      <c r="C299" s="49">
        <v>15102438</v>
      </c>
      <c r="D299" s="49"/>
    </row>
    <row r="301" spans="1:6" ht="31.5" customHeight="1" x14ac:dyDescent="0.35">
      <c r="A301" s="35" t="s">
        <v>105</v>
      </c>
      <c r="E301" s="50" t="s">
        <v>40</v>
      </c>
      <c r="F301" s="51">
        <v>10</v>
      </c>
    </row>
    <row r="302" spans="1:6" ht="31.5" customHeight="1" x14ac:dyDescent="0.3">
      <c r="A302" s="46">
        <v>1</v>
      </c>
      <c r="E302" s="52" t="s">
        <v>41</v>
      </c>
      <c r="F302" s="52"/>
    </row>
    <row r="303" spans="1:6" ht="31.5" customHeight="1" x14ac:dyDescent="0.3">
      <c r="E303" s="52" t="s">
        <v>42</v>
      </c>
      <c r="F303" s="52"/>
    </row>
    <row r="307" spans="1:7" ht="31.5" customHeight="1" x14ac:dyDescent="0.3">
      <c r="A307" s="54" t="s">
        <v>106</v>
      </c>
      <c r="C307" s="43"/>
      <c r="F307" s="55" t="s">
        <v>104</v>
      </c>
      <c r="G307" s="55"/>
    </row>
  </sheetData>
  <pageMargins left="0.7" right="0.7" top="0.75" bottom="0.75" header="0.3" footer="0.3"/>
  <pageSetup scale="65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C6" sqref="C6"/>
    </sheetView>
  </sheetViews>
  <sheetFormatPr defaultRowHeight="14.4" x14ac:dyDescent="0.3"/>
  <cols>
    <col min="1" max="1" width="7.33203125" customWidth="1"/>
    <col min="2" max="2" width="15.5546875" bestFit="1" customWidth="1"/>
    <col min="3" max="8" width="7.33203125" customWidth="1"/>
  </cols>
  <sheetData>
    <row r="1" spans="1:14" ht="35.1" customHeight="1" x14ac:dyDescent="0.3">
      <c r="A1" s="1" t="s">
        <v>1</v>
      </c>
      <c r="B1" s="3">
        <v>44290.521006944444</v>
      </c>
      <c r="D1" s="2"/>
      <c r="F1" s="2"/>
      <c r="H1" s="2"/>
    </row>
    <row r="2" spans="1:14" ht="35.1" customHeight="1" x14ac:dyDescent="0.3">
      <c r="A2" s="2" t="s">
        <v>6</v>
      </c>
      <c r="B2" s="4">
        <v>44290.521099537036</v>
      </c>
      <c r="C2" s="2"/>
      <c r="E2" s="2"/>
      <c r="G2" s="2"/>
    </row>
    <row r="3" spans="1:14" ht="35.1" customHeight="1" x14ac:dyDescent="0.3">
      <c r="A3" t="s">
        <v>9</v>
      </c>
      <c r="B3" s="3">
        <v>44290.521296296298</v>
      </c>
      <c r="D3" s="2"/>
      <c r="F3" s="2"/>
      <c r="H3" s="2"/>
    </row>
    <row r="4" spans="1:14" ht="35.1" customHeight="1" x14ac:dyDescent="0.3">
      <c r="A4" s="2" t="s">
        <v>7</v>
      </c>
      <c r="B4" s="4">
        <v>44290.521180555559</v>
      </c>
      <c r="C4" s="2"/>
      <c r="E4" s="2"/>
      <c r="G4" s="2"/>
    </row>
    <row r="5" spans="1:14" ht="35.1" customHeight="1" x14ac:dyDescent="0.3">
      <c r="A5" t="s">
        <v>8</v>
      </c>
      <c r="B5" s="3">
        <v>44290.521238425928</v>
      </c>
      <c r="D5" s="2"/>
      <c r="F5" s="2"/>
      <c r="H5" s="2"/>
      <c r="I5" t="s">
        <v>2</v>
      </c>
      <c r="J5" t="s">
        <v>4</v>
      </c>
      <c r="N5" t="s">
        <v>2</v>
      </c>
    </row>
    <row r="6" spans="1:14" ht="35.1" customHeight="1" x14ac:dyDescent="0.3">
      <c r="A6" s="2"/>
      <c r="C6" s="2"/>
      <c r="E6" s="2"/>
      <c r="G6" s="2"/>
      <c r="I6" t="s">
        <v>2</v>
      </c>
      <c r="N6" t="s">
        <v>2</v>
      </c>
    </row>
    <row r="7" spans="1:14" ht="35.1" customHeight="1" x14ac:dyDescent="0.3">
      <c r="B7" s="2"/>
      <c r="D7" s="2"/>
      <c r="F7" s="2"/>
      <c r="H7" s="2"/>
    </row>
    <row r="8" spans="1:14" ht="35.1" customHeight="1" x14ac:dyDescent="0.3">
      <c r="A8" s="2"/>
      <c r="C8" s="2"/>
      <c r="E8" s="2"/>
      <c r="G8" s="2"/>
    </row>
    <row r="11" spans="1:14" x14ac:dyDescent="0.3">
      <c r="G11" t="s">
        <v>3</v>
      </c>
    </row>
    <row r="12" spans="1:14" x14ac:dyDescent="0.3">
      <c r="G12" t="s">
        <v>3</v>
      </c>
    </row>
    <row r="13" spans="1:14" x14ac:dyDescent="0.3">
      <c r="G13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H1:K2"/>
  <sheetViews>
    <sheetView topLeftCell="C1" workbookViewId="0">
      <selection activeCell="E24" sqref="E24"/>
    </sheetView>
  </sheetViews>
  <sheetFormatPr defaultColWidth="9.109375" defaultRowHeight="14.4" x14ac:dyDescent="0.3"/>
  <cols>
    <col min="1" max="16384" width="9.109375" style="10"/>
  </cols>
  <sheetData>
    <row r="1" spans="8:11" x14ac:dyDescent="0.3">
      <c r="H1" s="7"/>
      <c r="I1" s="7"/>
      <c r="J1" s="7"/>
      <c r="K1" s="7"/>
    </row>
    <row r="2" spans="8:11" x14ac:dyDescent="0.3">
      <c r="H2" s="7"/>
      <c r="I2" s="7"/>
      <c r="J2" s="7"/>
      <c r="K2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C035-976C-4FBC-9B6F-309FEAF63F84}">
  <sheetPr codeName="Sheet5"/>
  <dimension ref="B2:M31"/>
  <sheetViews>
    <sheetView workbookViewId="0">
      <selection activeCell="G2" sqref="G2:G16"/>
    </sheetView>
  </sheetViews>
  <sheetFormatPr defaultRowHeight="14.4" x14ac:dyDescent="0.3"/>
  <cols>
    <col min="2" max="2" width="11.5546875" bestFit="1" customWidth="1"/>
  </cols>
  <sheetData>
    <row r="2" spans="2:13" x14ac:dyDescent="0.3">
      <c r="B2" t="s">
        <v>43</v>
      </c>
      <c r="C2" t="s">
        <v>25</v>
      </c>
      <c r="D2" t="s">
        <v>86</v>
      </c>
      <c r="G2" t="str">
        <f>CONCATENATE(B2," - ",C2," - ",D2)</f>
        <v>Room No 01 - Class 12A - GROUND FLOOR</v>
      </c>
      <c r="M2" t="str">
        <f>CONCATENATE(B2," - ",D2)</f>
        <v>Room No 01 - GROUND FLOOR</v>
      </c>
    </row>
    <row r="3" spans="2:13" x14ac:dyDescent="0.3">
      <c r="B3" t="s">
        <v>44</v>
      </c>
      <c r="C3" t="s">
        <v>73</v>
      </c>
      <c r="D3" t="s">
        <v>86</v>
      </c>
      <c r="G3" t="str">
        <f t="shared" ref="G3:G16" si="0">CONCATENATE(B3," - ",C3," - ",D3)</f>
        <v>Room No 02 - CLASS 11A - GROUND FLOOR</v>
      </c>
      <c r="M3" t="str">
        <f t="shared" ref="M3:M16" si="1">CONCATENATE(B3," - ",D3)</f>
        <v>Room No 02 - GROUND FLOOR</v>
      </c>
    </row>
    <row r="4" spans="2:13" x14ac:dyDescent="0.3">
      <c r="B4" t="s">
        <v>45</v>
      </c>
      <c r="C4" t="s">
        <v>74</v>
      </c>
      <c r="D4" t="s">
        <v>86</v>
      </c>
      <c r="G4" t="str">
        <f t="shared" si="0"/>
        <v>Room No 03 - CLASS 10B - GROUND FLOOR</v>
      </c>
      <c r="M4" t="str">
        <f t="shared" si="1"/>
        <v>Room No 03 - GROUND FLOOR</v>
      </c>
    </row>
    <row r="5" spans="2:13" x14ac:dyDescent="0.3">
      <c r="B5" t="s">
        <v>46</v>
      </c>
      <c r="C5" t="s">
        <v>75</v>
      </c>
      <c r="D5" t="s">
        <v>86</v>
      </c>
      <c r="G5" t="str">
        <f t="shared" si="0"/>
        <v>Room No 04 - CLASS 10A - GROUND FLOOR</v>
      </c>
      <c r="M5" t="str">
        <f t="shared" si="1"/>
        <v>Room No 04 - GROUND FLOOR</v>
      </c>
    </row>
    <row r="6" spans="2:13" x14ac:dyDescent="0.3">
      <c r="B6" t="s">
        <v>47</v>
      </c>
      <c r="C6" t="s">
        <v>76</v>
      </c>
      <c r="D6" t="s">
        <v>86</v>
      </c>
      <c r="G6" t="str">
        <f t="shared" si="0"/>
        <v>Room No 05 - CLASS 9B - GROUND FLOOR</v>
      </c>
      <c r="M6" t="str">
        <f t="shared" si="1"/>
        <v>Room No 05 - GROUND FLOOR</v>
      </c>
    </row>
    <row r="7" spans="2:13" x14ac:dyDescent="0.3">
      <c r="B7" t="s">
        <v>48</v>
      </c>
      <c r="C7" t="s">
        <v>77</v>
      </c>
      <c r="D7" t="s">
        <v>86</v>
      </c>
      <c r="G7" t="str">
        <f t="shared" si="0"/>
        <v>Room No 06 - CLASS 9A - GROUND FLOOR</v>
      </c>
      <c r="M7" t="str">
        <f t="shared" si="1"/>
        <v>Room No 06 - GROUND FLOOR</v>
      </c>
    </row>
    <row r="8" spans="2:13" x14ac:dyDescent="0.3">
      <c r="B8" t="s">
        <v>49</v>
      </c>
      <c r="C8" t="s">
        <v>78</v>
      </c>
      <c r="D8" t="s">
        <v>87</v>
      </c>
      <c r="G8" t="str">
        <f t="shared" si="0"/>
        <v>Room No 07 - CLASS 6A - FIRST FLOOR</v>
      </c>
      <c r="M8" t="str">
        <f t="shared" si="1"/>
        <v>Room No 07 - FIRST FLOOR</v>
      </c>
    </row>
    <row r="9" spans="2:13" x14ac:dyDescent="0.3">
      <c r="B9" t="s">
        <v>50</v>
      </c>
      <c r="C9" t="s">
        <v>79</v>
      </c>
      <c r="D9" t="s">
        <v>87</v>
      </c>
      <c r="G9" t="str">
        <f t="shared" si="0"/>
        <v>Room No 08 - CLASS 6B - FIRST FLOOR</v>
      </c>
      <c r="M9" t="str">
        <f t="shared" si="1"/>
        <v>Room No 08 - FIRST FLOOR</v>
      </c>
    </row>
    <row r="10" spans="2:13" x14ac:dyDescent="0.3">
      <c r="B10" t="s">
        <v>51</v>
      </c>
      <c r="C10" t="s">
        <v>80</v>
      </c>
      <c r="D10" t="s">
        <v>87</v>
      </c>
      <c r="G10" t="str">
        <f t="shared" si="0"/>
        <v>Room No 09 - CLASS 7A - FIRST FLOOR</v>
      </c>
      <c r="M10" t="str">
        <f t="shared" si="1"/>
        <v>Room No 09 - FIRST FLOOR</v>
      </c>
    </row>
    <row r="11" spans="2:13" x14ac:dyDescent="0.3">
      <c r="B11" t="s">
        <v>52</v>
      </c>
      <c r="C11" t="s">
        <v>81</v>
      </c>
      <c r="D11" t="s">
        <v>87</v>
      </c>
      <c r="G11" t="str">
        <f t="shared" si="0"/>
        <v>Room No 10 - CLASS 7B - FIRST FLOOR</v>
      </c>
      <c r="M11" t="str">
        <f t="shared" si="1"/>
        <v>Room No 10 - FIRST FLOOR</v>
      </c>
    </row>
    <row r="12" spans="2:13" x14ac:dyDescent="0.3">
      <c r="B12" t="s">
        <v>53</v>
      </c>
      <c r="C12" t="s">
        <v>82</v>
      </c>
      <c r="D12" t="s">
        <v>87</v>
      </c>
      <c r="G12" t="str">
        <f t="shared" si="0"/>
        <v>Room No 11 - CLASS 8A - FIRST FLOOR</v>
      </c>
      <c r="M12" t="str">
        <f t="shared" si="1"/>
        <v>Room No 11 - FIRST FLOOR</v>
      </c>
    </row>
    <row r="13" spans="2:13" x14ac:dyDescent="0.3">
      <c r="B13" t="s">
        <v>54</v>
      </c>
      <c r="C13" t="s">
        <v>83</v>
      </c>
      <c r="D13" t="s">
        <v>87</v>
      </c>
      <c r="G13" t="str">
        <f t="shared" si="0"/>
        <v>Room No 12 - CLASS 8B - FIRST FLOOR</v>
      </c>
      <c r="M13" t="str">
        <f t="shared" si="1"/>
        <v>Room No 12 - FIRST FLOOR</v>
      </c>
    </row>
    <row r="14" spans="2:13" x14ac:dyDescent="0.3">
      <c r="B14" t="s">
        <v>55</v>
      </c>
      <c r="C14" t="s">
        <v>84</v>
      </c>
      <c r="D14" t="s">
        <v>87</v>
      </c>
      <c r="G14" t="str">
        <f t="shared" si="0"/>
        <v>Room No 13 - CLASS 11B - FIRST FLOOR</v>
      </c>
      <c r="M14" t="str">
        <f t="shared" si="1"/>
        <v>Room No 13 - FIRST FLOOR</v>
      </c>
    </row>
    <row r="15" spans="2:13" x14ac:dyDescent="0.3">
      <c r="B15" t="s">
        <v>56</v>
      </c>
      <c r="C15" t="s">
        <v>85</v>
      </c>
      <c r="D15" t="s">
        <v>87</v>
      </c>
      <c r="G15" t="str">
        <f t="shared" si="0"/>
        <v>Room No 14 - CLASS 12B - FIRST FLOOR</v>
      </c>
      <c r="M15" t="str">
        <f t="shared" si="1"/>
        <v>Room No 14 - FIRST FLOOR</v>
      </c>
    </row>
    <row r="16" spans="2:13" x14ac:dyDescent="0.3">
      <c r="B16" t="s">
        <v>57</v>
      </c>
      <c r="C16" t="s">
        <v>26</v>
      </c>
      <c r="D16" t="s">
        <v>87</v>
      </c>
      <c r="G16" t="str">
        <f t="shared" si="0"/>
        <v>Room No 15 - NCC ROOM - FIRST FLOOR</v>
      </c>
      <c r="M16" t="str">
        <f t="shared" si="1"/>
        <v>Room No 15 - FIRST FLOOR</v>
      </c>
    </row>
    <row r="17" spans="2:2" x14ac:dyDescent="0.3">
      <c r="B17" t="s">
        <v>58</v>
      </c>
    </row>
    <row r="18" spans="2:2" x14ac:dyDescent="0.3">
      <c r="B18" t="s">
        <v>59</v>
      </c>
    </row>
    <row r="19" spans="2:2" x14ac:dyDescent="0.3">
      <c r="B19" t="s">
        <v>60</v>
      </c>
    </row>
    <row r="20" spans="2:2" x14ac:dyDescent="0.3">
      <c r="B20" t="s">
        <v>61</v>
      </c>
    </row>
    <row r="21" spans="2:2" x14ac:dyDescent="0.3">
      <c r="B21" t="s">
        <v>62</v>
      </c>
    </row>
    <row r="22" spans="2:2" x14ac:dyDescent="0.3">
      <c r="B22" t="s">
        <v>63</v>
      </c>
    </row>
    <row r="23" spans="2:2" x14ac:dyDescent="0.3">
      <c r="B23" t="s">
        <v>64</v>
      </c>
    </row>
    <row r="24" spans="2:2" x14ac:dyDescent="0.3">
      <c r="B24" t="s">
        <v>65</v>
      </c>
    </row>
    <row r="25" spans="2:2" x14ac:dyDescent="0.3">
      <c r="B25" t="s">
        <v>66</v>
      </c>
    </row>
    <row r="26" spans="2:2" x14ac:dyDescent="0.3">
      <c r="B26" t="s">
        <v>67</v>
      </c>
    </row>
    <row r="27" spans="2:2" x14ac:dyDescent="0.3">
      <c r="B27" t="s">
        <v>68</v>
      </c>
    </row>
    <row r="28" spans="2:2" x14ac:dyDescent="0.3">
      <c r="B28" t="s">
        <v>69</v>
      </c>
    </row>
    <row r="29" spans="2:2" x14ac:dyDescent="0.3">
      <c r="B29" t="s">
        <v>70</v>
      </c>
    </row>
    <row r="30" spans="2:2" x14ac:dyDescent="0.3">
      <c r="B30" t="s">
        <v>71</v>
      </c>
    </row>
    <row r="31" spans="2:2" x14ac:dyDescent="0.3">
      <c r="B31" t="s">
        <v>72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Sheet2</vt:lpstr>
      <vt:lpstr>Sheet3</vt:lpstr>
      <vt:lpstr>Rooms_Plan</vt:lpstr>
      <vt:lpstr>Sheet4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acer</cp:lastModifiedBy>
  <cp:lastPrinted>2021-11-27T09:28:20Z</cp:lastPrinted>
  <dcterms:created xsi:type="dcterms:W3CDTF">2021-04-03T17:20:17Z</dcterms:created>
  <dcterms:modified xsi:type="dcterms:W3CDTF">2021-11-27T09:39:21Z</dcterms:modified>
</cp:coreProperties>
</file>