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ingl\OneDrive\Desktop\CBSE\26.04.2022\"/>
    </mc:Choice>
  </mc:AlternateContent>
  <xr:revisionPtr revIDLastSave="0" documentId="8_{89C0FA3F-A399-49CA-80BF-2DD4BA35C3CD}" xr6:coauthVersionLast="47" xr6:coauthVersionMax="47" xr10:uidLastSave="{00000000-0000-0000-0000-000000000000}"/>
  <workbookProtection workbookAlgorithmName="SHA-512" workbookHashValue="50w8X7HJJvIG1XSNtOLTCZWPW3m23qf08xqX/yuIt84ml7TQ7/5YWTkjonA5EBRqqR1T18Gu1urNOCLdU0DvmA==" workbookSaltValue="hQxWjn2DUf6bdDCIEd2GYQ==" workbookSpinCount="100000" lockStructure="1"/>
  <bookViews>
    <workbookView xWindow="-110" yWindow="-110" windowWidth="19420" windowHeight="10300" activeTab="1" xr2:uid="{00000000-000D-0000-FFFF-FFFF00000000}"/>
  </bookViews>
  <sheets>
    <sheet name="Sheet1" sheetId="1" r:id="rId1"/>
    <sheet name="Sheet2" sheetId="2" r:id="rId2"/>
    <sheet name="Sheet3" sheetId="3" r:id="rId3"/>
    <sheet name="Sheet5" sheetId="6" r:id="rId4"/>
    <sheet name="Sheet4" sheetId="5" r:id="rId5"/>
    <sheet name="Sheet6" sheetId="7" r:id="rId6"/>
    <sheet name="Sheet7" sheetId="8" r:id="rId7"/>
    <sheet name="Sheet8" sheetId="9" r:id="rId8"/>
  </sheets>
  <definedNames>
    <definedName name="CentreNo">Sheet1!$D$15</definedName>
    <definedName name="ExamDate">Sheet1!$D$16</definedName>
    <definedName name="Heading">Sheet1!$D$14</definedName>
    <definedName name="SubjectNameCode">Sheet1!$D$17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2" i="7" l="1"/>
  <c r="D21" i="7"/>
  <c r="D20" i="7"/>
  <c r="D19" i="7"/>
  <c r="D18" i="7"/>
  <c r="D17" i="7"/>
  <c r="B6" i="5"/>
  <c r="B5" i="5"/>
  <c r="B4" i="5"/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H2" i="1" l="1"/>
  <c r="A2" i="1" l="1"/>
  <c r="F6" i="1" s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D7" i="1" l="1"/>
  <c r="D5" i="1" l="1"/>
  <c r="D8" i="1" l="1"/>
  <c r="D10" i="1" s="1"/>
  <c r="D6" i="1"/>
  <c r="D9" i="1" l="1"/>
  <c r="F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Anusha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Anusha:</t>
        </r>
        <r>
          <rPr>
            <sz val="9"/>
            <color indexed="81"/>
            <rFont val="Tahoma"/>
            <family val="2"/>
          </rPr>
          <t xml:space="preserve">
Insert names according to their physical proximity or floor wise
</t>
        </r>
      </text>
    </comment>
    <comment ref="E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Anusha:</t>
        </r>
        <r>
          <rPr>
            <sz val="9"/>
            <color indexed="81"/>
            <rFont val="Tahoma"/>
            <family val="2"/>
          </rPr>
          <t xml:space="preserve">
Keep it zero if you do not want to limit. This value shoud be lesst than Total Capacity Students per class</t>
        </r>
      </text>
    </comment>
    <comment ref="F5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Anusha: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Default Value is zero. Input a whole number</t>
        </r>
      </text>
    </comment>
  </commentList>
</comments>
</file>

<file path=xl/sharedStrings.xml><?xml version="1.0" encoding="utf-8"?>
<sst xmlns="http://schemas.openxmlformats.org/spreadsheetml/2006/main" count="599" uniqueCount="173">
  <si>
    <t>Available Rooms</t>
  </si>
  <si>
    <t>er</t>
  </si>
  <si>
    <t>df</t>
  </si>
  <si>
    <t>sd</t>
  </si>
  <si>
    <t>hjh</t>
  </si>
  <si>
    <t>gf</t>
  </si>
  <si>
    <t>Janendra</t>
  </si>
  <si>
    <t>Ollo</t>
  </si>
  <si>
    <t>Mera naam joker</t>
  </si>
  <si>
    <t>kdjf</t>
  </si>
  <si>
    <t>Rows</t>
  </si>
  <si>
    <t>Column</t>
  </si>
  <si>
    <t>Exams taking classes</t>
  </si>
  <si>
    <t>Class room status</t>
  </si>
  <si>
    <t>School Name</t>
  </si>
  <si>
    <t>EXAM NAME</t>
  </si>
  <si>
    <t>First Roll No</t>
  </si>
  <si>
    <t>Total Students Taking exams</t>
  </si>
  <si>
    <t>Total Capacity Students per class</t>
  </si>
  <si>
    <t>Limit Students per class</t>
  </si>
  <si>
    <t>If there is any Limit then</t>
  </si>
  <si>
    <t>Total Students Per class</t>
  </si>
  <si>
    <t>No. of Rooms Required</t>
  </si>
  <si>
    <t>Total Available SEATING Capacity</t>
  </si>
  <si>
    <t>Total Limited SEATING Capacity</t>
  </si>
  <si>
    <t>EXAM DATE</t>
  </si>
  <si>
    <t>SUBJECT NAME &amp; CODE</t>
  </si>
  <si>
    <t>NAME LIST</t>
  </si>
  <si>
    <t>HEADING</t>
  </si>
  <si>
    <t>CENTRE NO.</t>
  </si>
  <si>
    <t>822018 - KENDRIYA VIDYALAYA MIRC AHMEDNAGAR MR</t>
  </si>
  <si>
    <t>CENTRE NAME</t>
  </si>
  <si>
    <t>SUBJECT</t>
  </si>
  <si>
    <t>DATE</t>
  </si>
  <si>
    <t>Roll No</t>
  </si>
  <si>
    <t>QP. Code</t>
  </si>
  <si>
    <t>Total No. Students</t>
  </si>
  <si>
    <t>Present</t>
  </si>
  <si>
    <t>Absent</t>
  </si>
  <si>
    <t>Signature of Centre Superintendent (TeachID: 1705824)</t>
  </si>
  <si>
    <t>ROOM NO.</t>
  </si>
  <si>
    <t>FROM</t>
  </si>
  <si>
    <t>TO</t>
  </si>
  <si>
    <t>12A</t>
  </si>
  <si>
    <t>11A</t>
  </si>
  <si>
    <t>10B</t>
  </si>
  <si>
    <t>10A</t>
  </si>
  <si>
    <t>9B</t>
  </si>
  <si>
    <t>9A</t>
  </si>
  <si>
    <t>ROOM 01</t>
  </si>
  <si>
    <t>ROOM 02</t>
  </si>
  <si>
    <t>GROUND FLOOR</t>
  </si>
  <si>
    <t>FIRST FLOOR</t>
  </si>
  <si>
    <t>ROOM 03</t>
  </si>
  <si>
    <t>ROOM 04</t>
  </si>
  <si>
    <t>ROOM 05</t>
  </si>
  <si>
    <t>ROOM 06</t>
  </si>
  <si>
    <t>ROOM 07</t>
  </si>
  <si>
    <t>ROOM 08</t>
  </si>
  <si>
    <t>ROOM 09</t>
  </si>
  <si>
    <t>ROOM 10</t>
  </si>
  <si>
    <t>ROOM 11</t>
  </si>
  <si>
    <t>ROOM 12</t>
  </si>
  <si>
    <t>ROOM 13</t>
  </si>
  <si>
    <t>Column1</t>
  </si>
  <si>
    <t>Column2</t>
  </si>
  <si>
    <t>Column3</t>
  </si>
  <si>
    <t>ROOM 14</t>
  </si>
  <si>
    <t>ROOM NAME</t>
  </si>
  <si>
    <t>TeachID</t>
  </si>
  <si>
    <t>TEACHER NAME</t>
  </si>
  <si>
    <t>ROLES</t>
  </si>
  <si>
    <t>BEFORE EXAM</t>
  </si>
  <si>
    <t>AFTER EXAM</t>
  </si>
  <si>
    <t>PRAVEEN KUMAR</t>
  </si>
  <si>
    <t>CENTER SUPERINTENDENT</t>
  </si>
  <si>
    <t>PARSHURAM WANGDARE</t>
  </si>
  <si>
    <t>DEPUTY CENTER SUPERINTENDENT</t>
  </si>
  <si>
    <t>POOJA SUBHASH AMBEKAR</t>
  </si>
  <si>
    <t>INVIGILATOR ROOM 01</t>
  </si>
  <si>
    <t>ANUSHA KUMARI</t>
  </si>
  <si>
    <t>INVIGILATOR ROOM 02</t>
  </si>
  <si>
    <t>SHAIKH FARHIN MUSHTAQUE</t>
  </si>
  <si>
    <t>INVIGILATOR ROOM 03</t>
  </si>
  <si>
    <t>GATE DUTY 03</t>
  </si>
  <si>
    <t>SEEMA DUDHALE</t>
  </si>
  <si>
    <t>DHANSHRI MULAY</t>
  </si>
  <si>
    <t>MRS. MANISHA SABLE</t>
  </si>
  <si>
    <t>GANESH GORAKH SHINDE</t>
  </si>
  <si>
    <t>JANENDRA KUMAR YADAV</t>
  </si>
  <si>
    <t>IT PERSON</t>
  </si>
  <si>
    <t>MS. ASMITA DIVATE</t>
  </si>
  <si>
    <t>OBSERVER</t>
  </si>
  <si>
    <t>MR. BHAGWAN SOMA PADAVALE</t>
  </si>
  <si>
    <t>SUPPORT STAFF</t>
  </si>
  <si>
    <t>MRS. GEETANJALI VAIDYA</t>
  </si>
  <si>
    <t>AVINASH INGLE</t>
  </si>
  <si>
    <t>SHAIKH MAHMAD MUJAHED SHIAKH AHMED</t>
  </si>
  <si>
    <t>COORDINATOR 01</t>
  </si>
  <si>
    <t>ANGAD DHULGANDE</t>
  </si>
  <si>
    <t>EVALUATOR 01</t>
  </si>
  <si>
    <t>SURESH SHIRSATH</t>
  </si>
  <si>
    <t>MS.DOLLY KUMARI</t>
  </si>
  <si>
    <t>VISHAL GAWALI</t>
  </si>
  <si>
    <t>SUVARNA BHAGYAWANT SHINDE</t>
  </si>
  <si>
    <t>MRS SHAILAJA GANDHALE TGT </t>
  </si>
  <si>
    <t>MS SANDHYA TRYAMBAKE</t>
  </si>
  <si>
    <t>MRS NEETA OBEROI </t>
  </si>
  <si>
    <t>DAVID SHRIDHAR INGALE</t>
  </si>
  <si>
    <t>VASUDHA DAMLE</t>
  </si>
  <si>
    <t>VIRENDRA PATIL</t>
  </si>
  <si>
    <t>KIRAN KHOSE</t>
  </si>
  <si>
    <t>SARITA</t>
  </si>
  <si>
    <t>SEEMA ASHOK DHONGADE</t>
  </si>
  <si>
    <t>AKSHAY KUMAR</t>
  </si>
  <si>
    <t xml:space="preserve">MRS. DIPALI PARDESHI </t>
  </si>
  <si>
    <t>ARPA CHANDEKAR</t>
  </si>
  <si>
    <t>SHIRISHKUMAR S DHUMALE</t>
  </si>
  <si>
    <t>GATE DUTY 01</t>
  </si>
  <si>
    <t>DR ASHWINI GHOGARE</t>
  </si>
  <si>
    <t xml:space="preserve">GATE DUTY 02 </t>
  </si>
  <si>
    <t>KAVITA PARDESHI</t>
  </si>
  <si>
    <t>NALINI SHIRKE</t>
  </si>
  <si>
    <t>MADHURI ARUN UPADHYE</t>
  </si>
  <si>
    <t>MRS ZAINAB NAGARWALLA</t>
  </si>
  <si>
    <t xml:space="preserve">ROOM PLAN </t>
  </si>
  <si>
    <t>EVALUATOR 02</t>
  </si>
  <si>
    <t>SECONDARY SCHOOL EXAMINATION 2022 (Term-II)</t>
  </si>
  <si>
    <t>26.04.2022</t>
  </si>
  <si>
    <t>049 - PAINTING</t>
  </si>
  <si>
    <t>7C</t>
  </si>
  <si>
    <t>7A</t>
  </si>
  <si>
    <t>7B</t>
  </si>
  <si>
    <t>6A</t>
  </si>
  <si>
    <t>6B</t>
  </si>
  <si>
    <t>6C</t>
  </si>
  <si>
    <t>8A</t>
  </si>
  <si>
    <t>8B</t>
  </si>
  <si>
    <t>ROOM 15</t>
  </si>
  <si>
    <t>ROOM 16</t>
  </si>
  <si>
    <t>ROOM 17</t>
  </si>
  <si>
    <t>ROOM 18</t>
  </si>
  <si>
    <t>ROOM 19</t>
  </si>
  <si>
    <t>ROOM 20</t>
  </si>
  <si>
    <t>5C</t>
  </si>
  <si>
    <t>5B</t>
  </si>
  <si>
    <t>5A</t>
  </si>
  <si>
    <t>4A</t>
  </si>
  <si>
    <t>4B</t>
  </si>
  <si>
    <t>4C</t>
  </si>
  <si>
    <t>SEATING PLAN FOR CBSE EXAM - 2021-22</t>
  </si>
  <si>
    <t>Name, TeachID &amp; Signature of _x000D_
Asstt. Superintendents</t>
  </si>
  <si>
    <t>ROOM 01 - 11A - GROUND FLOOR</t>
  </si>
  <si>
    <t>ROOM 02 - 12A - GROUND FLOOR</t>
  </si>
  <si>
    <t>ROOM 03 - 10A - GROUND FLOOR</t>
  </si>
  <si>
    <t>ROOM 04 - 10B - GROUND FLOOR</t>
  </si>
  <si>
    <t>ROOM 05 - 9A - GROUND FLOOR</t>
  </si>
  <si>
    <t>ROOM 06 - 9B - GROUND FLOOR</t>
  </si>
  <si>
    <t>ROOM 07 - 7C - FIRST FLOOR</t>
  </si>
  <si>
    <t>ROOM 08 - 7A - FIRST FLOOR</t>
  </si>
  <si>
    <t>ROOM 09 - 7B - FIRST FLOOR</t>
  </si>
  <si>
    <t>ROOM 10 - 6A - FIRST FLOOR</t>
  </si>
  <si>
    <t>ROOM 11 - 6B - FIRST FLOOR</t>
  </si>
  <si>
    <t xml:space="preserve">ROOM 12 - 6C - </t>
  </si>
  <si>
    <t>ROOM 13 - 8A - FIRST FLOOR</t>
  </si>
  <si>
    <t>ROOM 14 - 8B - FIRST FLOOR</t>
  </si>
  <si>
    <t xml:space="preserve">ROOM 15 - 5C - </t>
  </si>
  <si>
    <t xml:space="preserve">ROOM 16 - 5B - </t>
  </si>
  <si>
    <t xml:space="preserve">ROOM 17 - 5A - </t>
  </si>
  <si>
    <t xml:space="preserve">ROOM 18 - 4A - </t>
  </si>
  <si>
    <t xml:space="preserve">ROOM 19 - 4B - </t>
  </si>
  <si>
    <t xml:space="preserve">ROOM 20 - 4C - </t>
  </si>
  <si>
    <t>last row of sheet 2 seating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</si>
</sst>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Times New Roman"/>
      <family val="1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Arial"/>
      <family val="2"/>
    </font>
    <font>
      <sz val="16"/>
      <color theme="1"/>
      <name val="Times New Roman"/>
      <family val="1"/>
    </font>
    <font>
      <b/>
      <sz val="18"/>
      <color theme="1"/>
      <name val="Times New Roman"/>
      <family val="1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/>
      <name val="Times New Roman"/>
      <family val="1"/>
    </font>
    <font>
      <sz val="14"/>
      <color rgb="FF000000"/>
      <name val="Times New Roman"/>
      <family val="1"/>
    </font>
    <font>
      <b/>
      <sz val="4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48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6"/>
      <color rgb="FF000000"/>
      <name val="Times New Roman"/>
      <family val="1"/>
    </font>
    <font>
      <b/>
      <sz val="16"/>
      <color rgb="FF000000"/>
      <name val="Calibri"/>
      <family val="2"/>
      <scheme val="minor"/>
    </font>
    <font>
      <b/>
      <sz val="72"/>
      <color theme="1"/>
      <name val="Times New Roman"/>
      <family val="1"/>
    </font>
    <font>
      <b/>
      <sz val="65"/>
      <color theme="1"/>
      <name val="Times New Roman"/>
      <family val="1"/>
    </font>
    <font>
      <b/>
      <sz val="36"/>
      <color theme="1"/>
      <name val="Times New Roman"/>
      <family val="1"/>
    </font>
    <font>
      <sz val="36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58"/>
      <color theme="1"/>
      <name val="Calibri"/>
      <family val="2"/>
      <scheme val="minor"/>
    </font>
    <font>
      <b/>
      <sz val="43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E8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DEBF7"/>
        <bgColor rgb="FFDDEBF7"/>
      </patternFill>
    </fill>
    <fill>
      <patternFill patternType="solid">
        <fgColor rgb="FFD9E1F2"/>
        <bgColor rgb="FFD9E1F2"/>
      </patternFill>
    </fill>
    <fill>
      <patternFill patternType="solid">
        <fgColor rgb="FFFFFFFF"/>
        <bgColor rgb="FF000000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4" tint="-0.249977111117893"/>
      </right>
      <top/>
      <bottom/>
      <diagonal/>
    </border>
    <border>
      <left/>
      <right/>
      <top/>
      <bottom style="thin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249977111117893"/>
      </right>
      <top/>
      <bottom style="thin">
        <color theme="4" tint="-0.249977111117893"/>
      </bottom>
      <diagonal/>
    </border>
    <border>
      <left/>
      <right style="medium">
        <color theme="4" tint="-0.249977111117893"/>
      </right>
      <top/>
      <bottom/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theme="4" tint="-0.249977111117893"/>
      </top>
      <bottom style="thin">
        <color theme="4" tint="-0.249977111117893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rgb="FF000000"/>
      </left>
      <right/>
      <top style="thin">
        <color rgb="FF8EA9DB"/>
      </top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2" borderId="0" xfId="0" applyFill="1"/>
    <xf numFmtId="0" fontId="0" fillId="3" borderId="0" xfId="0" applyFill="1"/>
    <xf numFmtId="22" fontId="0" fillId="3" borderId="0" xfId="0" applyNumberFormat="1" applyFill="1"/>
    <xf numFmtId="22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0" xfId="0" applyFont="1" applyBorder="1"/>
    <xf numFmtId="0" fontId="0" fillId="0" borderId="0" xfId="0" applyAlignment="1">
      <alignment wrapText="1"/>
    </xf>
    <xf numFmtId="0" fontId="0" fillId="0" borderId="3" xfId="0" applyBorder="1"/>
    <xf numFmtId="0" fontId="0" fillId="0" borderId="0" xfId="0" applyBorder="1"/>
    <xf numFmtId="0" fontId="0" fillId="4" borderId="10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1" fillId="4" borderId="1" xfId="0" applyFont="1" applyFill="1" applyBorder="1" applyProtection="1">
      <protection locked="0"/>
    </xf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 applyAlignment="1">
      <alignment wrapText="1"/>
    </xf>
    <xf numFmtId="0" fontId="0" fillId="4" borderId="12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5" borderId="16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 wrapText="1"/>
    </xf>
    <xf numFmtId="0" fontId="0" fillId="4" borderId="16" xfId="0" applyFill="1" applyBorder="1" applyProtection="1">
      <protection locked="0"/>
    </xf>
    <xf numFmtId="0" fontId="1" fillId="0" borderId="11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5" borderId="16" xfId="0" applyFont="1" applyFill="1" applyBorder="1" applyAlignment="1">
      <alignment vertical="center" wrapText="1"/>
    </xf>
    <xf numFmtId="0" fontId="1" fillId="7" borderId="16" xfId="0" applyFont="1" applyFill="1" applyBorder="1" applyAlignment="1">
      <alignment wrapText="1"/>
    </xf>
    <xf numFmtId="0" fontId="1" fillId="6" borderId="13" xfId="0" applyFont="1" applyFill="1" applyBorder="1" applyAlignment="1">
      <alignment wrapText="1"/>
    </xf>
    <xf numFmtId="0" fontId="1" fillId="6" borderId="4" xfId="0" applyFont="1" applyFill="1" applyBorder="1" applyAlignment="1">
      <alignment wrapText="1"/>
    </xf>
    <xf numFmtId="0" fontId="1" fillId="6" borderId="0" xfId="0" applyFont="1" applyFill="1" applyBorder="1"/>
    <xf numFmtId="0" fontId="1" fillId="6" borderId="4" xfId="0" applyFont="1" applyFill="1" applyBorder="1"/>
    <xf numFmtId="0" fontId="1" fillId="6" borderId="9" xfId="0" applyFont="1" applyFill="1" applyBorder="1" applyAlignment="1">
      <alignment wrapText="1"/>
    </xf>
    <xf numFmtId="0" fontId="0" fillId="4" borderId="17" xfId="0" applyFill="1" applyBorder="1" applyProtection="1">
      <protection locked="0"/>
    </xf>
    <xf numFmtId="0" fontId="4" fillId="4" borderId="1" xfId="0" applyFont="1" applyFill="1" applyBorder="1" applyAlignment="1" applyProtection="1">
      <alignment wrapText="1"/>
      <protection locked="0"/>
    </xf>
    <xf numFmtId="0" fontId="0" fillId="4" borderId="0" xfId="0" applyFill="1" applyProtection="1">
      <protection locked="0"/>
    </xf>
    <xf numFmtId="164" fontId="0" fillId="4" borderId="0" xfId="0" applyNumberFormat="1" applyFill="1" applyProtection="1">
      <protection locked="0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11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6" fillId="0" borderId="1" xfId="0" applyFont="1" applyBorder="1" applyAlignment="1"/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vertical="center"/>
    </xf>
    <xf numFmtId="0" fontId="6" fillId="0" borderId="0" xfId="0" applyFont="1" applyBorder="1" applyAlignment="1">
      <alignment horizontal="right" vertical="center"/>
    </xf>
    <xf numFmtId="0" fontId="12" fillId="0" borderId="0" xfId="0" applyFont="1" applyBorder="1"/>
    <xf numFmtId="1" fontId="12" fillId="0" borderId="0" xfId="0" applyNumberFormat="1" applyFont="1" applyBorder="1"/>
    <xf numFmtId="0" fontId="12" fillId="0" borderId="0" xfId="0" applyFont="1" applyBorder="1" applyAlignment="1">
      <alignment horizontal="center"/>
    </xf>
    <xf numFmtId="1" fontId="12" fillId="0" borderId="0" xfId="0" applyNumberFormat="1" applyFont="1" applyBorder="1" applyAlignment="1">
      <alignment horizontal="center"/>
    </xf>
    <xf numFmtId="1" fontId="0" fillId="0" borderId="0" xfId="0" applyNumberFormat="1" applyBorder="1"/>
    <xf numFmtId="0" fontId="14" fillId="0" borderId="0" xfId="0" applyFont="1" applyBorder="1" applyAlignment="1">
      <alignment vertical="center"/>
    </xf>
    <xf numFmtId="0" fontId="15" fillId="8" borderId="18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14" fillId="0" borderId="0" xfId="0" applyFont="1" applyBorder="1" applyAlignment="1">
      <alignment horizontal="left" vertical="center"/>
    </xf>
    <xf numFmtId="0" fontId="20" fillId="10" borderId="0" xfId="0" applyFont="1" applyFill="1" applyAlignment="1">
      <alignment horizontal="center" wrapText="1"/>
    </xf>
    <xf numFmtId="0" fontId="21" fillId="10" borderId="0" xfId="0" applyFont="1" applyFill="1"/>
    <xf numFmtId="0" fontId="15" fillId="8" borderId="0" xfId="0" applyFont="1" applyFill="1" applyAlignment="1">
      <alignment vertical="center"/>
    </xf>
    <xf numFmtId="0" fontId="19" fillId="9" borderId="0" xfId="0" applyFont="1" applyFill="1"/>
    <xf numFmtId="0" fontId="19" fillId="0" borderId="0" xfId="0" applyFont="1"/>
    <xf numFmtId="0" fontId="15" fillId="0" borderId="0" xfId="0" applyFont="1" applyAlignment="1">
      <alignment vertical="center"/>
    </xf>
    <xf numFmtId="0" fontId="15" fillId="9" borderId="0" xfId="0" applyFont="1" applyFill="1" applyAlignment="1">
      <alignment vertical="center"/>
    </xf>
    <xf numFmtId="0" fontId="15" fillId="8" borderId="19" xfId="0" applyFont="1" applyFill="1" applyBorder="1" applyAlignment="1">
      <alignment vertical="center"/>
    </xf>
    <xf numFmtId="15" fontId="22" fillId="0" borderId="0" xfId="0" applyNumberFormat="1" applyFont="1" applyBorder="1" applyAlignment="1">
      <alignment vertical="center"/>
    </xf>
    <xf numFmtId="0" fontId="4" fillId="4" borderId="0" xfId="0" applyFont="1" applyFill="1" applyBorder="1" applyAlignment="1" applyProtection="1">
      <alignment wrapText="1"/>
      <protection locked="0"/>
    </xf>
    <xf numFmtId="0" fontId="4" fillId="0" borderId="0" xfId="0" applyFont="1" applyFill="1" applyBorder="1" applyAlignment="1" applyProtection="1">
      <alignment wrapText="1"/>
      <protection locked="0"/>
    </xf>
    <xf numFmtId="0" fontId="0" fillId="0" borderId="0" xfId="0" applyFill="1" applyBorder="1"/>
    <xf numFmtId="0" fontId="15" fillId="8" borderId="0" xfId="0" applyFont="1" applyFill="1" applyBorder="1" applyAlignment="1">
      <alignment vertical="center"/>
    </xf>
    <xf numFmtId="0" fontId="0" fillId="0" borderId="0" xfId="0" applyNumberFormat="1"/>
    <xf numFmtId="0" fontId="24" fillId="0" borderId="0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left" vertical="center" wrapText="1"/>
    </xf>
    <xf numFmtId="0" fontId="28" fillId="0" borderId="1" xfId="0" applyFont="1" applyBorder="1" applyAlignment="1">
      <alignment horizontal="center" wrapText="1"/>
    </xf>
    <xf numFmtId="1" fontId="28" fillId="0" borderId="1" xfId="0" applyNumberFormat="1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0" fontId="29" fillId="0" borderId="1" xfId="0" applyFont="1" applyBorder="1" applyAlignment="1">
      <alignment horizontal="left"/>
    </xf>
    <xf numFmtId="0" fontId="25" fillId="0" borderId="0" xfId="0" applyFont="1" applyBorder="1" applyAlignment="1">
      <alignment vertical="center"/>
    </xf>
    <xf numFmtId="0" fontId="0" fillId="0" borderId="0" xfId="0" applyProtection="1">
      <protection locked="0"/>
    </xf>
  </cellXfs>
  <cellStyles count="1">
    <cellStyle name="Normal" xfId="0" builtinId="0"/>
  </cellStyles>
  <dxfs count="9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fill>
        <patternFill patternType="solid">
          <fgColor rgb="FFDDEBF7"/>
          <bgColor rgb="FFDDEBF7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Times New Roman"/>
        <family val="1"/>
        <scheme val="none"/>
      </font>
      <fill>
        <patternFill patternType="solid">
          <fgColor rgb="FF000000"/>
          <bgColor rgb="FFFFFFFF"/>
        </patternFill>
      </fill>
      <alignment horizontal="center" vertical="bottom" textRotation="0" wrapText="1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447675</xdr:colOff>
      <xdr:row>12</xdr:row>
      <xdr:rowOff>104775</xdr:rowOff>
    </xdr:from>
    <xdr:ext cx="2405082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638925" y="3571875"/>
          <a:ext cx="2405082" cy="26456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100"/>
            <a:t>ENTER VALUES IN</a:t>
          </a:r>
          <a:r>
            <a:rPr lang="en-IN" sz="1100" baseline="0"/>
            <a:t> YELLOW CELLS ONLY</a:t>
          </a:r>
          <a:endParaRPr lang="en-IN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520700</xdr:colOff>
          <xdr:row>8</xdr:row>
          <xdr:rowOff>279400</xdr:rowOff>
        </xdr:from>
        <xdr:to>
          <xdr:col>11</xdr:col>
          <xdr:colOff>596900</xdr:colOff>
          <xdr:row>9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Seating Arrangement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4686E9-EF52-47C4-8B5F-A31DDEC8470B}" name="Table1" displayName="Table1" ref="A2:D22" totalsRowShown="0">
  <autoFilter ref="A2:D22" xr:uid="{E0E4685E-A94B-4D9F-8F1B-908397C596C5}"/>
  <sortState xmlns:xlrd2="http://schemas.microsoft.com/office/spreadsheetml/2017/richdata2" ref="A3:C16">
    <sortCondition ref="A2:A16"/>
  </sortState>
  <tableColumns count="4">
    <tableColumn id="1" xr3:uid="{8C71276B-A7F9-43BD-8F4B-5DFFFA886C58}" name="Column1"/>
    <tableColumn id="2" xr3:uid="{5E88531D-E09B-48FE-A1A1-438BD134F666}" name="Column2"/>
    <tableColumn id="3" xr3:uid="{1E7F82F4-1BF1-4D06-B15F-2118478C18FA}" name="Column3"/>
    <tableColumn id="4" xr3:uid="{16424228-251C-49D1-963F-66E5CC98D072}" name="ROOM NAME" dataDxfId="8">
      <calculatedColumnFormula>CONCATENATE(Table1[[#This Row],[Column1]]," - ",Table1[[#This Row],[Column2]]," - ",Table1[[#This Row],[Column3]])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FCED5B-0A4C-42C2-A150-E86FC643035D}" name="Table2" displayName="Table2" ref="A1:E39" totalsRowShown="0" headerRowDxfId="7" dataDxfId="6">
  <autoFilter ref="A1:E39" xr:uid="{51E7D309-DD49-4897-B00C-AE377D516939}"/>
  <sortState xmlns:xlrd2="http://schemas.microsoft.com/office/spreadsheetml/2017/richdata2" ref="A2:E39">
    <sortCondition ref="C1:C39"/>
  </sortState>
  <tableColumns count="5">
    <tableColumn id="1" xr3:uid="{357A3A9E-2213-4E95-9A81-5184B3B03754}" name="TeachID"/>
    <tableColumn id="2" xr3:uid="{030F0D01-BBB1-4ED9-B5E8-23BF8E5439CC}" name="TEACHER NAME" dataDxfId="5"/>
    <tableColumn id="3" xr3:uid="{EF60F143-0426-41BA-ACE8-25A3BFBF6BF0}" name="ROLES" dataDxfId="4"/>
    <tableColumn id="4" xr3:uid="{0FE797A0-B845-4E9F-85AB-30B2CDA78A3B}" name="BEFORE EXAM" dataDxfId="3"/>
    <tableColumn id="5" xr3:uid="{B969650B-BCE8-4C3E-987B-318FCC97BB59}" name="AFTER EXAM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315"/>
  <sheetViews>
    <sheetView workbookViewId="0">
      <selection activeCell="D4" sqref="D4"/>
    </sheetView>
  </sheetViews>
  <sheetFormatPr defaultColWidth="8.81640625" defaultRowHeight="14.5" x14ac:dyDescent="0.35"/>
  <cols>
    <col min="1" max="1" width="15.81640625" bestFit="1" customWidth="1"/>
    <col min="3" max="3" width="23.453125" style="8" customWidth="1"/>
    <col min="4" max="4" width="16.81640625" customWidth="1"/>
    <col min="5" max="5" width="18" customWidth="1"/>
    <col min="8" max="8" width="9.1796875" style="33"/>
  </cols>
  <sheetData>
    <row r="1" spans="1:42" s="5" customFormat="1" ht="15" thickBot="1" x14ac:dyDescent="0.4">
      <c r="A1" s="6" t="s">
        <v>0</v>
      </c>
      <c r="B1"/>
      <c r="C1" s="8"/>
      <c r="D1"/>
      <c r="E1"/>
      <c r="F1"/>
      <c r="G1"/>
      <c r="H1" s="13" t="s">
        <v>27</v>
      </c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P1" s="5">
        <v>42</v>
      </c>
    </row>
    <row r="2" spans="1:42" s="7" customFormat="1" ht="15" thickBot="1" x14ac:dyDescent="0.4">
      <c r="A2" s="7">
        <f>COUNTA(A3:A60)</f>
        <v>20</v>
      </c>
      <c r="B2"/>
      <c r="C2" s="8"/>
      <c r="D2"/>
      <c r="E2"/>
      <c r="F2"/>
      <c r="G2" t="s">
        <v>21</v>
      </c>
      <c r="H2" s="7">
        <f>COUNTA(H3:H1048576)</f>
        <v>313</v>
      </c>
      <c r="I2" s="7" t="str">
        <f t="shared" ref="I2:AK2" si="0">IF(I3="","",I4-I3+1)</f>
        <v/>
      </c>
      <c r="J2" s="7" t="str">
        <f t="shared" si="0"/>
        <v/>
      </c>
      <c r="K2" s="7" t="str">
        <f t="shared" si="0"/>
        <v/>
      </c>
      <c r="L2" s="7" t="str">
        <f t="shared" si="0"/>
        <v/>
      </c>
      <c r="M2" s="7" t="str">
        <f t="shared" si="0"/>
        <v/>
      </c>
      <c r="N2" s="7" t="str">
        <f t="shared" si="0"/>
        <v/>
      </c>
      <c r="O2" s="7" t="str">
        <f t="shared" si="0"/>
        <v/>
      </c>
      <c r="P2" s="7" t="str">
        <f t="shared" si="0"/>
        <v/>
      </c>
      <c r="Q2" s="7" t="str">
        <f t="shared" si="0"/>
        <v/>
      </c>
      <c r="R2" s="7" t="str">
        <f t="shared" si="0"/>
        <v/>
      </c>
      <c r="S2" s="7" t="str">
        <f t="shared" si="0"/>
        <v/>
      </c>
      <c r="T2" s="7" t="str">
        <f t="shared" si="0"/>
        <v/>
      </c>
      <c r="U2" s="7" t="str">
        <f t="shared" si="0"/>
        <v/>
      </c>
      <c r="V2" s="7" t="str">
        <f t="shared" si="0"/>
        <v/>
      </c>
      <c r="W2" s="7" t="str">
        <f t="shared" si="0"/>
        <v/>
      </c>
      <c r="X2" s="7" t="str">
        <f t="shared" si="0"/>
        <v/>
      </c>
      <c r="Y2" s="7" t="str">
        <f t="shared" si="0"/>
        <v/>
      </c>
      <c r="Z2" s="7" t="str">
        <f t="shared" si="0"/>
        <v/>
      </c>
      <c r="AA2" s="7" t="str">
        <f t="shared" si="0"/>
        <v/>
      </c>
      <c r="AB2" s="7" t="str">
        <f t="shared" si="0"/>
        <v/>
      </c>
      <c r="AC2" s="7" t="str">
        <f t="shared" si="0"/>
        <v/>
      </c>
      <c r="AD2" s="7" t="str">
        <f t="shared" si="0"/>
        <v/>
      </c>
      <c r="AE2" s="7" t="str">
        <f t="shared" si="0"/>
        <v/>
      </c>
      <c r="AF2" s="7" t="str">
        <f t="shared" si="0"/>
        <v/>
      </c>
      <c r="AG2" s="7" t="str">
        <f t="shared" si="0"/>
        <v/>
      </c>
      <c r="AH2" s="7" t="str">
        <f t="shared" si="0"/>
        <v/>
      </c>
      <c r="AI2" s="7" t="str">
        <f t="shared" si="0"/>
        <v/>
      </c>
      <c r="AJ2" s="7" t="str">
        <f t="shared" si="0"/>
        <v/>
      </c>
      <c r="AK2" s="7" t="str">
        <f t="shared" si="0"/>
        <v/>
      </c>
    </row>
    <row r="3" spans="1:42" x14ac:dyDescent="0.35">
      <c r="A3" s="11" t="s">
        <v>152</v>
      </c>
      <c r="C3" s="22" t="s">
        <v>10</v>
      </c>
      <c r="D3" s="17">
        <v>6</v>
      </c>
      <c r="G3" t="s">
        <v>16</v>
      </c>
      <c r="H3" s="32">
        <v>15100675</v>
      </c>
      <c r="I3" s="3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1:42" ht="15" thickBot="1" x14ac:dyDescent="0.4">
      <c r="A4" s="11" t="s">
        <v>153</v>
      </c>
      <c r="C4" s="23" t="s">
        <v>11</v>
      </c>
      <c r="D4" s="18">
        <v>3</v>
      </c>
      <c r="E4" s="10"/>
      <c r="F4" s="10"/>
      <c r="H4" s="32">
        <v>15100676</v>
      </c>
      <c r="I4" s="3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N4">
        <v>42</v>
      </c>
    </row>
    <row r="5" spans="1:42" ht="30" customHeight="1" x14ac:dyDescent="0.35">
      <c r="A5" s="11" t="s">
        <v>154</v>
      </c>
      <c r="C5" s="24" t="s">
        <v>18</v>
      </c>
      <c r="D5" s="19">
        <f>D3*D4</f>
        <v>18</v>
      </c>
      <c r="E5" s="26" t="s">
        <v>19</v>
      </c>
      <c r="F5" s="12">
        <v>0</v>
      </c>
      <c r="H5" s="32">
        <v>15100677</v>
      </c>
    </row>
    <row r="6" spans="1:42" ht="30" customHeight="1" x14ac:dyDescent="0.35">
      <c r="A6" s="11" t="s">
        <v>155</v>
      </c>
      <c r="C6" s="24" t="s">
        <v>23</v>
      </c>
      <c r="D6" s="19">
        <f>A2*D5</f>
        <v>360</v>
      </c>
      <c r="E6" s="27" t="s">
        <v>24</v>
      </c>
      <c r="F6" s="14">
        <f>F5*A2</f>
        <v>0</v>
      </c>
      <c r="H6" s="32">
        <v>15100678</v>
      </c>
    </row>
    <row r="7" spans="1:42" ht="30" customHeight="1" x14ac:dyDescent="0.35">
      <c r="A7" s="11" t="s">
        <v>156</v>
      </c>
      <c r="C7" s="24" t="s">
        <v>12</v>
      </c>
      <c r="D7" s="19">
        <f>COUNTA(H3:AK3)</f>
        <v>1</v>
      </c>
      <c r="E7" s="28"/>
      <c r="F7" s="15"/>
      <c r="H7" s="32">
        <v>15100679</v>
      </c>
    </row>
    <row r="8" spans="1:42" ht="30" customHeight="1" x14ac:dyDescent="0.35">
      <c r="A8" s="11" t="s">
        <v>157</v>
      </c>
      <c r="C8" s="24" t="s">
        <v>17</v>
      </c>
      <c r="D8" s="19">
        <f>SUM(H2:AK2)</f>
        <v>313</v>
      </c>
      <c r="E8" s="29"/>
      <c r="F8" s="14"/>
      <c r="H8" s="32">
        <v>15100680</v>
      </c>
    </row>
    <row r="9" spans="1:42" ht="30" customHeight="1" thickBot="1" x14ac:dyDescent="0.4">
      <c r="A9" s="11" t="s">
        <v>158</v>
      </c>
      <c r="C9" s="24" t="s">
        <v>13</v>
      </c>
      <c r="D9" s="20" t="str">
        <f>IF(D8/D5 &lt;A2,"Sufficient rooms available","Not Sufficient")</f>
        <v>Sufficient rooms available</v>
      </c>
      <c r="E9" s="30" t="s">
        <v>20</v>
      </c>
      <c r="F9" s="16" t="str">
        <f>IF(F5=0,"NO LIMIT per class",IF(F6&gt;=D8,"Sufficient rooms available","Not Sufficient"))</f>
        <v>NO LIMIT per class</v>
      </c>
      <c r="H9" s="32">
        <v>15100681</v>
      </c>
      <c r="J9" s="9"/>
    </row>
    <row r="10" spans="1:42" ht="30" customHeight="1" x14ac:dyDescent="0.35">
      <c r="A10" s="11" t="s">
        <v>159</v>
      </c>
      <c r="C10" s="24" t="s">
        <v>22</v>
      </c>
      <c r="D10" s="19">
        <f>IF(F5=0,ROUNDUP(D8/D5,0),ROUNDUP(D8/F5,0))</f>
        <v>18</v>
      </c>
      <c r="H10" s="32">
        <v>15100682</v>
      </c>
    </row>
    <row r="11" spans="1:42" x14ac:dyDescent="0.35">
      <c r="A11" s="11" t="s">
        <v>160</v>
      </c>
      <c r="H11" s="32">
        <v>15100683</v>
      </c>
    </row>
    <row r="12" spans="1:42" x14ac:dyDescent="0.35">
      <c r="A12" s="11" t="s">
        <v>161</v>
      </c>
      <c r="C12" s="25" t="s">
        <v>14</v>
      </c>
      <c r="D12" s="21" t="s">
        <v>30</v>
      </c>
      <c r="H12" s="32">
        <v>15100684</v>
      </c>
    </row>
    <row r="13" spans="1:42" x14ac:dyDescent="0.35">
      <c r="A13" s="11" t="s">
        <v>162</v>
      </c>
      <c r="C13" s="25" t="s">
        <v>15</v>
      </c>
      <c r="D13" s="21" t="s">
        <v>127</v>
      </c>
      <c r="H13" s="32">
        <v>15100685</v>
      </c>
    </row>
    <row r="14" spans="1:42" x14ac:dyDescent="0.35">
      <c r="A14" s="11" t="s">
        <v>163</v>
      </c>
      <c r="C14" s="25" t="s">
        <v>28</v>
      </c>
      <c r="D14" s="21" t="s">
        <v>150</v>
      </c>
      <c r="H14" s="32">
        <v>15100686</v>
      </c>
    </row>
    <row r="15" spans="1:42" x14ac:dyDescent="0.35">
      <c r="A15" s="11" t="s">
        <v>164</v>
      </c>
      <c r="C15" s="25" t="s">
        <v>29</v>
      </c>
      <c r="D15" s="21">
        <v>822018</v>
      </c>
      <c r="H15" s="32">
        <v>15100687</v>
      </c>
    </row>
    <row r="16" spans="1:42" x14ac:dyDescent="0.35">
      <c r="A16" s="11" t="s">
        <v>165</v>
      </c>
      <c r="C16" s="25" t="s">
        <v>25</v>
      </c>
      <c r="D16" s="34" t="s">
        <v>128</v>
      </c>
      <c r="H16" s="32">
        <v>15100688</v>
      </c>
    </row>
    <row r="17" spans="1:8" x14ac:dyDescent="0.35">
      <c r="A17" s="11" t="s">
        <v>166</v>
      </c>
      <c r="C17" s="25" t="s">
        <v>26</v>
      </c>
      <c r="D17" s="21" t="s">
        <v>129</v>
      </c>
      <c r="H17" s="32">
        <v>15100689</v>
      </c>
    </row>
    <row r="18" spans="1:8" x14ac:dyDescent="0.35">
      <c r="A18" s="11" t="s">
        <v>167</v>
      </c>
      <c r="H18" s="32">
        <v>15100690</v>
      </c>
    </row>
    <row r="19" spans="1:8" x14ac:dyDescent="0.35">
      <c r="A19" s="11" t="s">
        <v>168</v>
      </c>
      <c r="H19" s="32">
        <v>15100691</v>
      </c>
    </row>
    <row r="20" spans="1:8" x14ac:dyDescent="0.35">
      <c r="A20" s="11" t="s">
        <v>169</v>
      </c>
      <c r="H20" s="32">
        <v>15100692</v>
      </c>
    </row>
    <row r="21" spans="1:8" x14ac:dyDescent="0.35">
      <c r="A21" s="11" t="s">
        <v>170</v>
      </c>
      <c r="H21" s="32">
        <v>15100693</v>
      </c>
    </row>
    <row r="22" spans="1:8" x14ac:dyDescent="0.35">
      <c r="A22" s="11" t="s">
        <v>171</v>
      </c>
      <c r="H22" s="32">
        <v>15100694</v>
      </c>
    </row>
    <row r="23" spans="1:8" x14ac:dyDescent="0.35">
      <c r="A23" s="11"/>
      <c r="H23" s="32">
        <v>15100695</v>
      </c>
    </row>
    <row r="24" spans="1:8" x14ac:dyDescent="0.35">
      <c r="A24" s="11"/>
      <c r="H24" s="32">
        <v>15100696</v>
      </c>
    </row>
    <row r="25" spans="1:8" x14ac:dyDescent="0.35">
      <c r="A25" s="11"/>
      <c r="H25" s="32">
        <v>15100697</v>
      </c>
    </row>
    <row r="26" spans="1:8" x14ac:dyDescent="0.35">
      <c r="A26" s="11"/>
      <c r="H26" s="32">
        <v>15100698</v>
      </c>
    </row>
    <row r="27" spans="1:8" x14ac:dyDescent="0.35">
      <c r="A27" s="11"/>
      <c r="H27" s="32">
        <v>15100699</v>
      </c>
    </row>
    <row r="28" spans="1:8" x14ac:dyDescent="0.35">
      <c r="A28" s="11"/>
      <c r="H28" s="32">
        <v>15100700</v>
      </c>
    </row>
    <row r="29" spans="1:8" x14ac:dyDescent="0.35">
      <c r="A29" s="11"/>
      <c r="H29" s="32">
        <v>15100701</v>
      </c>
    </row>
    <row r="30" spans="1:8" x14ac:dyDescent="0.35">
      <c r="A30" s="11"/>
      <c r="H30" s="32">
        <v>15100702</v>
      </c>
    </row>
    <row r="31" spans="1:8" x14ac:dyDescent="0.35">
      <c r="A31" s="11"/>
      <c r="H31" s="32">
        <v>15100703</v>
      </c>
    </row>
    <row r="32" spans="1:8" x14ac:dyDescent="0.35">
      <c r="A32" s="11"/>
      <c r="H32" s="32">
        <v>15100704</v>
      </c>
    </row>
    <row r="33" spans="1:8" x14ac:dyDescent="0.35">
      <c r="A33" s="11"/>
      <c r="H33" s="32">
        <v>15100705</v>
      </c>
    </row>
    <row r="34" spans="1:8" x14ac:dyDescent="0.35">
      <c r="A34" s="11"/>
      <c r="H34" s="32">
        <v>15100706</v>
      </c>
    </row>
    <row r="35" spans="1:8" x14ac:dyDescent="0.35">
      <c r="A35" s="11"/>
      <c r="H35" s="32">
        <v>15100707</v>
      </c>
    </row>
    <row r="36" spans="1:8" x14ac:dyDescent="0.35">
      <c r="A36" s="11"/>
      <c r="H36" s="32">
        <v>15100708</v>
      </c>
    </row>
    <row r="37" spans="1:8" x14ac:dyDescent="0.35">
      <c r="A37" s="11"/>
      <c r="H37" s="32">
        <v>15100709</v>
      </c>
    </row>
    <row r="38" spans="1:8" x14ac:dyDescent="0.35">
      <c r="A38" s="11"/>
      <c r="H38" s="32">
        <v>15100710</v>
      </c>
    </row>
    <row r="39" spans="1:8" x14ac:dyDescent="0.35">
      <c r="A39" s="11"/>
      <c r="H39" s="32">
        <v>15100711</v>
      </c>
    </row>
    <row r="40" spans="1:8" ht="29" x14ac:dyDescent="0.35">
      <c r="A40" s="11"/>
      <c r="C40" s="8" t="s">
        <v>172</v>
      </c>
      <c r="D40" s="79">
        <v>433</v>
      </c>
      <c r="H40" s="32">
        <v>15100712</v>
      </c>
    </row>
    <row r="41" spans="1:8" x14ac:dyDescent="0.35">
      <c r="A41" s="11"/>
      <c r="H41" s="32">
        <v>15100713</v>
      </c>
    </row>
    <row r="42" spans="1:8" x14ac:dyDescent="0.35">
      <c r="A42" s="11"/>
      <c r="H42" s="32">
        <v>15100714</v>
      </c>
    </row>
    <row r="43" spans="1:8" x14ac:dyDescent="0.35">
      <c r="A43" s="11"/>
      <c r="H43" s="32">
        <v>15100715</v>
      </c>
    </row>
    <row r="44" spans="1:8" x14ac:dyDescent="0.35">
      <c r="A44" s="11"/>
      <c r="H44" s="32">
        <v>15100716</v>
      </c>
    </row>
    <row r="45" spans="1:8" x14ac:dyDescent="0.35">
      <c r="A45" s="11"/>
      <c r="H45" s="32">
        <v>15100717</v>
      </c>
    </row>
    <row r="46" spans="1:8" x14ac:dyDescent="0.35">
      <c r="A46" s="11"/>
      <c r="H46" s="32">
        <v>15100718</v>
      </c>
    </row>
    <row r="47" spans="1:8" x14ac:dyDescent="0.35">
      <c r="A47" s="11"/>
      <c r="H47" s="32">
        <v>15100719</v>
      </c>
    </row>
    <row r="48" spans="1:8" x14ac:dyDescent="0.35">
      <c r="A48" s="11"/>
      <c r="H48" s="32">
        <v>15100720</v>
      </c>
    </row>
    <row r="49" spans="1:8" x14ac:dyDescent="0.35">
      <c r="A49" s="11"/>
      <c r="H49" s="32">
        <v>15100721</v>
      </c>
    </row>
    <row r="50" spans="1:8" x14ac:dyDescent="0.35">
      <c r="A50" s="11"/>
      <c r="H50" s="32">
        <v>15100722</v>
      </c>
    </row>
    <row r="51" spans="1:8" x14ac:dyDescent="0.35">
      <c r="A51" s="11"/>
      <c r="H51" s="32">
        <v>15100723</v>
      </c>
    </row>
    <row r="52" spans="1:8" x14ac:dyDescent="0.35">
      <c r="A52" s="11"/>
      <c r="H52" s="32">
        <v>15100724</v>
      </c>
    </row>
    <row r="53" spans="1:8" x14ac:dyDescent="0.35">
      <c r="A53" s="11"/>
      <c r="H53" s="32">
        <v>15100725</v>
      </c>
    </row>
    <row r="54" spans="1:8" x14ac:dyDescent="0.35">
      <c r="A54" s="11"/>
      <c r="H54" s="32">
        <v>15100726</v>
      </c>
    </row>
    <row r="55" spans="1:8" x14ac:dyDescent="0.35">
      <c r="A55" s="11"/>
      <c r="H55" s="32">
        <v>15100727</v>
      </c>
    </row>
    <row r="56" spans="1:8" x14ac:dyDescent="0.35">
      <c r="A56" s="11"/>
      <c r="H56" s="32">
        <v>15100728</v>
      </c>
    </row>
    <row r="57" spans="1:8" x14ac:dyDescent="0.35">
      <c r="A57" s="11"/>
      <c r="H57" s="32">
        <v>15100729</v>
      </c>
    </row>
    <row r="58" spans="1:8" x14ac:dyDescent="0.35">
      <c r="A58" s="11"/>
      <c r="H58" s="32">
        <v>15100730</v>
      </c>
    </row>
    <row r="59" spans="1:8" x14ac:dyDescent="0.35">
      <c r="A59" s="11"/>
      <c r="H59" s="32">
        <v>15100731</v>
      </c>
    </row>
    <row r="60" spans="1:8" x14ac:dyDescent="0.35">
      <c r="A60" s="11"/>
      <c r="H60" s="32">
        <v>15100732</v>
      </c>
    </row>
    <row r="61" spans="1:8" x14ac:dyDescent="0.35">
      <c r="H61" s="32">
        <v>15100733</v>
      </c>
    </row>
    <row r="62" spans="1:8" x14ac:dyDescent="0.35">
      <c r="H62" s="32">
        <v>15100734</v>
      </c>
    </row>
    <row r="63" spans="1:8" x14ac:dyDescent="0.35">
      <c r="H63" s="32">
        <v>15100735</v>
      </c>
    </row>
    <row r="64" spans="1:8" x14ac:dyDescent="0.35">
      <c r="H64" s="32">
        <v>15100736</v>
      </c>
    </row>
    <row r="65" spans="8:8" x14ac:dyDescent="0.35">
      <c r="H65" s="32">
        <v>15100737</v>
      </c>
    </row>
    <row r="66" spans="8:8" x14ac:dyDescent="0.35">
      <c r="H66" s="32">
        <v>15100738</v>
      </c>
    </row>
    <row r="67" spans="8:8" x14ac:dyDescent="0.35">
      <c r="H67" s="32">
        <v>15100739</v>
      </c>
    </row>
    <row r="68" spans="8:8" x14ac:dyDescent="0.35">
      <c r="H68" s="32">
        <v>15100740</v>
      </c>
    </row>
    <row r="69" spans="8:8" x14ac:dyDescent="0.35">
      <c r="H69" s="32">
        <v>15100741</v>
      </c>
    </row>
    <row r="70" spans="8:8" x14ac:dyDescent="0.35">
      <c r="H70" s="32">
        <v>15100742</v>
      </c>
    </row>
    <row r="71" spans="8:8" x14ac:dyDescent="0.35">
      <c r="H71" s="32">
        <v>15101827</v>
      </c>
    </row>
    <row r="72" spans="8:8" x14ac:dyDescent="0.35">
      <c r="H72" s="32">
        <v>15101828</v>
      </c>
    </row>
    <row r="73" spans="8:8" x14ac:dyDescent="0.35">
      <c r="H73" s="32">
        <v>15101829</v>
      </c>
    </row>
    <row r="74" spans="8:8" x14ac:dyDescent="0.35">
      <c r="H74" s="32">
        <v>15101830</v>
      </c>
    </row>
    <row r="75" spans="8:8" x14ac:dyDescent="0.35">
      <c r="H75" s="32">
        <v>15101831</v>
      </c>
    </row>
    <row r="76" spans="8:8" x14ac:dyDescent="0.35">
      <c r="H76" s="32">
        <v>15101832</v>
      </c>
    </row>
    <row r="77" spans="8:8" x14ac:dyDescent="0.35">
      <c r="H77" s="32">
        <v>15101833</v>
      </c>
    </row>
    <row r="78" spans="8:8" x14ac:dyDescent="0.35">
      <c r="H78" s="32">
        <v>15101834</v>
      </c>
    </row>
    <row r="79" spans="8:8" x14ac:dyDescent="0.35">
      <c r="H79" s="32">
        <v>15101835</v>
      </c>
    </row>
    <row r="80" spans="8:8" x14ac:dyDescent="0.35">
      <c r="H80" s="32">
        <v>15101836</v>
      </c>
    </row>
    <row r="81" spans="8:8" x14ac:dyDescent="0.35">
      <c r="H81" s="32">
        <v>15101837</v>
      </c>
    </row>
    <row r="82" spans="8:8" x14ac:dyDescent="0.35">
      <c r="H82" s="32">
        <v>15101838</v>
      </c>
    </row>
    <row r="83" spans="8:8" x14ac:dyDescent="0.35">
      <c r="H83" s="32">
        <v>15101839</v>
      </c>
    </row>
    <row r="84" spans="8:8" x14ac:dyDescent="0.35">
      <c r="H84" s="32">
        <v>15101840</v>
      </c>
    </row>
    <row r="85" spans="8:8" x14ac:dyDescent="0.35">
      <c r="H85" s="32">
        <v>15101841</v>
      </c>
    </row>
    <row r="86" spans="8:8" x14ac:dyDescent="0.35">
      <c r="H86" s="33">
        <v>15101842</v>
      </c>
    </row>
    <row r="87" spans="8:8" x14ac:dyDescent="0.35">
      <c r="H87" s="33">
        <v>15101843</v>
      </c>
    </row>
    <row r="88" spans="8:8" x14ac:dyDescent="0.35">
      <c r="H88" s="33">
        <v>15101844</v>
      </c>
    </row>
    <row r="89" spans="8:8" x14ac:dyDescent="0.35">
      <c r="H89" s="33">
        <v>15101845</v>
      </c>
    </row>
    <row r="90" spans="8:8" x14ac:dyDescent="0.35">
      <c r="H90" s="33">
        <v>15101846</v>
      </c>
    </row>
    <row r="91" spans="8:8" x14ac:dyDescent="0.35">
      <c r="H91" s="33">
        <v>15101847</v>
      </c>
    </row>
    <row r="92" spans="8:8" x14ac:dyDescent="0.35">
      <c r="H92" s="33">
        <v>15101848</v>
      </c>
    </row>
    <row r="93" spans="8:8" x14ac:dyDescent="0.35">
      <c r="H93" s="33">
        <v>15101849</v>
      </c>
    </row>
    <row r="94" spans="8:8" x14ac:dyDescent="0.35">
      <c r="H94" s="33">
        <v>15101850</v>
      </c>
    </row>
    <row r="95" spans="8:8" x14ac:dyDescent="0.35">
      <c r="H95" s="33">
        <v>15101851</v>
      </c>
    </row>
    <row r="96" spans="8:8" x14ac:dyDescent="0.35">
      <c r="H96" s="33">
        <v>15101852</v>
      </c>
    </row>
    <row r="97" spans="8:8" x14ac:dyDescent="0.35">
      <c r="H97" s="33">
        <v>15101853</v>
      </c>
    </row>
    <row r="98" spans="8:8" x14ac:dyDescent="0.35">
      <c r="H98" s="33">
        <v>15101854</v>
      </c>
    </row>
    <row r="99" spans="8:8" x14ac:dyDescent="0.35">
      <c r="H99" s="33">
        <v>15101855</v>
      </c>
    </row>
    <row r="100" spans="8:8" x14ac:dyDescent="0.35">
      <c r="H100" s="33">
        <v>15101856</v>
      </c>
    </row>
    <row r="101" spans="8:8" x14ac:dyDescent="0.35">
      <c r="H101" s="33">
        <v>15101857</v>
      </c>
    </row>
    <row r="102" spans="8:8" x14ac:dyDescent="0.35">
      <c r="H102" s="33">
        <v>15101858</v>
      </c>
    </row>
    <row r="103" spans="8:8" x14ac:dyDescent="0.35">
      <c r="H103" s="33">
        <v>15101859</v>
      </c>
    </row>
    <row r="104" spans="8:8" x14ac:dyDescent="0.35">
      <c r="H104" s="33">
        <v>15101860</v>
      </c>
    </row>
    <row r="105" spans="8:8" x14ac:dyDescent="0.35">
      <c r="H105" s="33">
        <v>15101861</v>
      </c>
    </row>
    <row r="106" spans="8:8" x14ac:dyDescent="0.35">
      <c r="H106" s="33">
        <v>15101862</v>
      </c>
    </row>
    <row r="107" spans="8:8" x14ac:dyDescent="0.35">
      <c r="H107" s="33">
        <v>15101863</v>
      </c>
    </row>
    <row r="108" spans="8:8" x14ac:dyDescent="0.35">
      <c r="H108" s="33">
        <v>15101864</v>
      </c>
    </row>
    <row r="109" spans="8:8" x14ac:dyDescent="0.35">
      <c r="H109" s="33">
        <v>15101865</v>
      </c>
    </row>
    <row r="110" spans="8:8" x14ac:dyDescent="0.35">
      <c r="H110" s="33">
        <v>15101866</v>
      </c>
    </row>
    <row r="111" spans="8:8" x14ac:dyDescent="0.35">
      <c r="H111" s="33">
        <v>15101867</v>
      </c>
    </row>
    <row r="112" spans="8:8" x14ac:dyDescent="0.35">
      <c r="H112" s="33">
        <v>15101868</v>
      </c>
    </row>
    <row r="113" spans="8:8" x14ac:dyDescent="0.35">
      <c r="H113" s="33">
        <v>15101869</v>
      </c>
    </row>
    <row r="114" spans="8:8" x14ac:dyDescent="0.35">
      <c r="H114" s="33">
        <v>15101870</v>
      </c>
    </row>
    <row r="115" spans="8:8" x14ac:dyDescent="0.35">
      <c r="H115" s="33">
        <v>15101871</v>
      </c>
    </row>
    <row r="116" spans="8:8" x14ac:dyDescent="0.35">
      <c r="H116" s="33">
        <v>15101872</v>
      </c>
    </row>
    <row r="117" spans="8:8" x14ac:dyDescent="0.35">
      <c r="H117" s="33">
        <v>15101873</v>
      </c>
    </row>
    <row r="118" spans="8:8" x14ac:dyDescent="0.35">
      <c r="H118" s="33">
        <v>15101874</v>
      </c>
    </row>
    <row r="119" spans="8:8" x14ac:dyDescent="0.35">
      <c r="H119" s="33">
        <v>15101875</v>
      </c>
    </row>
    <row r="120" spans="8:8" x14ac:dyDescent="0.35">
      <c r="H120" s="33">
        <v>15101876</v>
      </c>
    </row>
    <row r="121" spans="8:8" x14ac:dyDescent="0.35">
      <c r="H121" s="33">
        <v>15101877</v>
      </c>
    </row>
    <row r="122" spans="8:8" x14ac:dyDescent="0.35">
      <c r="H122" s="33">
        <v>15101878</v>
      </c>
    </row>
    <row r="123" spans="8:8" x14ac:dyDescent="0.35">
      <c r="H123" s="33">
        <v>15101879</v>
      </c>
    </row>
    <row r="124" spans="8:8" x14ac:dyDescent="0.35">
      <c r="H124" s="33">
        <v>15101880</v>
      </c>
    </row>
    <row r="125" spans="8:8" x14ac:dyDescent="0.35">
      <c r="H125" s="33">
        <v>15101881</v>
      </c>
    </row>
    <row r="126" spans="8:8" x14ac:dyDescent="0.35">
      <c r="H126" s="33">
        <v>15101882</v>
      </c>
    </row>
    <row r="127" spans="8:8" x14ac:dyDescent="0.35">
      <c r="H127" s="33">
        <v>15101883</v>
      </c>
    </row>
    <row r="128" spans="8:8" x14ac:dyDescent="0.35">
      <c r="H128" s="33">
        <v>15101884</v>
      </c>
    </row>
    <row r="129" spans="8:8" x14ac:dyDescent="0.35">
      <c r="H129" s="33">
        <v>15101885</v>
      </c>
    </row>
    <row r="130" spans="8:8" x14ac:dyDescent="0.35">
      <c r="H130" s="33">
        <v>15101886</v>
      </c>
    </row>
    <row r="131" spans="8:8" x14ac:dyDescent="0.35">
      <c r="H131" s="33">
        <v>15101887</v>
      </c>
    </row>
    <row r="132" spans="8:8" x14ac:dyDescent="0.35">
      <c r="H132" s="33">
        <v>15101888</v>
      </c>
    </row>
    <row r="133" spans="8:8" x14ac:dyDescent="0.35">
      <c r="H133" s="33">
        <v>15101889</v>
      </c>
    </row>
    <row r="134" spans="8:8" x14ac:dyDescent="0.35">
      <c r="H134" s="33">
        <v>15101890</v>
      </c>
    </row>
    <row r="135" spans="8:8" x14ac:dyDescent="0.35">
      <c r="H135" s="33">
        <v>15101891</v>
      </c>
    </row>
    <row r="136" spans="8:8" x14ac:dyDescent="0.35">
      <c r="H136" s="33">
        <v>15101892</v>
      </c>
    </row>
    <row r="137" spans="8:8" x14ac:dyDescent="0.35">
      <c r="H137" s="33">
        <v>15101893</v>
      </c>
    </row>
    <row r="138" spans="8:8" x14ac:dyDescent="0.35">
      <c r="H138" s="33">
        <v>15101894</v>
      </c>
    </row>
    <row r="139" spans="8:8" x14ac:dyDescent="0.35">
      <c r="H139" s="33">
        <v>15101895</v>
      </c>
    </row>
    <row r="140" spans="8:8" x14ac:dyDescent="0.35">
      <c r="H140" s="33">
        <v>15101896</v>
      </c>
    </row>
    <row r="141" spans="8:8" x14ac:dyDescent="0.35">
      <c r="H141" s="33">
        <v>15101897</v>
      </c>
    </row>
    <row r="142" spans="8:8" x14ac:dyDescent="0.35">
      <c r="H142" s="33">
        <v>15101898</v>
      </c>
    </row>
    <row r="143" spans="8:8" x14ac:dyDescent="0.35">
      <c r="H143" s="33">
        <v>15101899</v>
      </c>
    </row>
    <row r="144" spans="8:8" x14ac:dyDescent="0.35">
      <c r="H144" s="33">
        <v>15101900</v>
      </c>
    </row>
    <row r="145" spans="8:8" x14ac:dyDescent="0.35">
      <c r="H145" s="33">
        <v>15101901</v>
      </c>
    </row>
    <row r="146" spans="8:8" x14ac:dyDescent="0.35">
      <c r="H146" s="33">
        <v>15101902</v>
      </c>
    </row>
    <row r="147" spans="8:8" x14ac:dyDescent="0.35">
      <c r="H147" s="33">
        <v>15101903</v>
      </c>
    </row>
    <row r="148" spans="8:8" x14ac:dyDescent="0.35">
      <c r="H148" s="33">
        <v>15101904</v>
      </c>
    </row>
    <row r="149" spans="8:8" x14ac:dyDescent="0.35">
      <c r="H149" s="33">
        <v>15101905</v>
      </c>
    </row>
    <row r="150" spans="8:8" x14ac:dyDescent="0.35">
      <c r="H150" s="33">
        <v>15101906</v>
      </c>
    </row>
    <row r="151" spans="8:8" x14ac:dyDescent="0.35">
      <c r="H151" s="33">
        <v>15101907</v>
      </c>
    </row>
    <row r="152" spans="8:8" x14ac:dyDescent="0.35">
      <c r="H152" s="33">
        <v>15101908</v>
      </c>
    </row>
    <row r="153" spans="8:8" x14ac:dyDescent="0.35">
      <c r="H153" s="33">
        <v>15101909</v>
      </c>
    </row>
    <row r="154" spans="8:8" x14ac:dyDescent="0.35">
      <c r="H154" s="33">
        <v>15101910</v>
      </c>
    </row>
    <row r="155" spans="8:8" x14ac:dyDescent="0.35">
      <c r="H155" s="33">
        <v>15101911</v>
      </c>
    </row>
    <row r="156" spans="8:8" x14ac:dyDescent="0.35">
      <c r="H156" s="33">
        <v>15101912</v>
      </c>
    </row>
    <row r="157" spans="8:8" x14ac:dyDescent="0.35">
      <c r="H157" s="33">
        <v>15101913</v>
      </c>
    </row>
    <row r="158" spans="8:8" x14ac:dyDescent="0.35">
      <c r="H158" s="33">
        <v>15101914</v>
      </c>
    </row>
    <row r="159" spans="8:8" x14ac:dyDescent="0.35">
      <c r="H159" s="33">
        <v>15101915</v>
      </c>
    </row>
    <row r="160" spans="8:8" x14ac:dyDescent="0.35">
      <c r="H160" s="33">
        <v>15101916</v>
      </c>
    </row>
    <row r="161" spans="8:8" x14ac:dyDescent="0.35">
      <c r="H161" s="33">
        <v>15101917</v>
      </c>
    </row>
    <row r="162" spans="8:8" x14ac:dyDescent="0.35">
      <c r="H162" s="33">
        <v>15101918</v>
      </c>
    </row>
    <row r="163" spans="8:8" x14ac:dyDescent="0.35">
      <c r="H163" s="33">
        <v>15101919</v>
      </c>
    </row>
    <row r="164" spans="8:8" x14ac:dyDescent="0.35">
      <c r="H164" s="33">
        <v>15101920</v>
      </c>
    </row>
    <row r="165" spans="8:8" x14ac:dyDescent="0.35">
      <c r="H165" s="33">
        <v>15101921</v>
      </c>
    </row>
    <row r="166" spans="8:8" x14ac:dyDescent="0.35">
      <c r="H166" s="33">
        <v>15101922</v>
      </c>
    </row>
    <row r="167" spans="8:8" x14ac:dyDescent="0.35">
      <c r="H167" s="33">
        <v>15101923</v>
      </c>
    </row>
    <row r="168" spans="8:8" x14ac:dyDescent="0.35">
      <c r="H168" s="33">
        <v>15101924</v>
      </c>
    </row>
    <row r="169" spans="8:8" x14ac:dyDescent="0.35">
      <c r="H169" s="33">
        <v>15101925</v>
      </c>
    </row>
    <row r="170" spans="8:8" x14ac:dyDescent="0.35">
      <c r="H170" s="33">
        <v>15101926</v>
      </c>
    </row>
    <row r="171" spans="8:8" x14ac:dyDescent="0.35">
      <c r="H171" s="33">
        <v>15101927</v>
      </c>
    </row>
    <row r="172" spans="8:8" x14ac:dyDescent="0.35">
      <c r="H172" s="33">
        <v>15101928</v>
      </c>
    </row>
    <row r="173" spans="8:8" x14ac:dyDescent="0.35">
      <c r="H173" s="33">
        <v>15101929</v>
      </c>
    </row>
    <row r="174" spans="8:8" x14ac:dyDescent="0.35">
      <c r="H174" s="33">
        <v>15101930</v>
      </c>
    </row>
    <row r="175" spans="8:8" x14ac:dyDescent="0.35">
      <c r="H175" s="33">
        <v>15101931</v>
      </c>
    </row>
    <row r="176" spans="8:8" x14ac:dyDescent="0.35">
      <c r="H176" s="33">
        <v>15101932</v>
      </c>
    </row>
    <row r="177" spans="8:8" x14ac:dyDescent="0.35">
      <c r="H177" s="33">
        <v>15101933</v>
      </c>
    </row>
    <row r="178" spans="8:8" x14ac:dyDescent="0.35">
      <c r="H178" s="33">
        <v>15101934</v>
      </c>
    </row>
    <row r="179" spans="8:8" x14ac:dyDescent="0.35">
      <c r="H179" s="33">
        <v>15101935</v>
      </c>
    </row>
    <row r="180" spans="8:8" x14ac:dyDescent="0.35">
      <c r="H180" s="33">
        <v>15101936</v>
      </c>
    </row>
    <row r="181" spans="8:8" x14ac:dyDescent="0.35">
      <c r="H181" s="33">
        <v>15101937</v>
      </c>
    </row>
    <row r="182" spans="8:8" x14ac:dyDescent="0.35">
      <c r="H182" s="33">
        <v>15101938</v>
      </c>
    </row>
    <row r="183" spans="8:8" x14ac:dyDescent="0.35">
      <c r="H183" s="33">
        <v>15101939</v>
      </c>
    </row>
    <row r="184" spans="8:8" x14ac:dyDescent="0.35">
      <c r="H184" s="33">
        <v>15101940</v>
      </c>
    </row>
    <row r="185" spans="8:8" x14ac:dyDescent="0.35">
      <c r="H185" s="33">
        <v>15101941</v>
      </c>
    </row>
    <row r="186" spans="8:8" x14ac:dyDescent="0.35">
      <c r="H186" s="33">
        <v>15101942</v>
      </c>
    </row>
    <row r="187" spans="8:8" x14ac:dyDescent="0.35">
      <c r="H187" s="33">
        <v>15101943</v>
      </c>
    </row>
    <row r="188" spans="8:8" x14ac:dyDescent="0.35">
      <c r="H188" s="33">
        <v>15101944</v>
      </c>
    </row>
    <row r="189" spans="8:8" x14ac:dyDescent="0.35">
      <c r="H189" s="33">
        <v>15101945</v>
      </c>
    </row>
    <row r="190" spans="8:8" x14ac:dyDescent="0.35">
      <c r="H190" s="33">
        <v>15101946</v>
      </c>
    </row>
    <row r="191" spans="8:8" x14ac:dyDescent="0.35">
      <c r="H191" s="33">
        <v>15101947</v>
      </c>
    </row>
    <row r="192" spans="8:8" x14ac:dyDescent="0.35">
      <c r="H192" s="33">
        <v>15101948</v>
      </c>
    </row>
    <row r="193" spans="8:8" x14ac:dyDescent="0.35">
      <c r="H193" s="33">
        <v>15101949</v>
      </c>
    </row>
    <row r="194" spans="8:8" x14ac:dyDescent="0.35">
      <c r="H194" s="33">
        <v>15101950</v>
      </c>
    </row>
    <row r="195" spans="8:8" x14ac:dyDescent="0.35">
      <c r="H195" s="33">
        <v>15101951</v>
      </c>
    </row>
    <row r="196" spans="8:8" x14ac:dyDescent="0.35">
      <c r="H196" s="33">
        <v>15101952</v>
      </c>
    </row>
    <row r="197" spans="8:8" x14ac:dyDescent="0.35">
      <c r="H197" s="33">
        <v>15101953</v>
      </c>
    </row>
    <row r="198" spans="8:8" x14ac:dyDescent="0.35">
      <c r="H198" s="33">
        <v>15101954</v>
      </c>
    </row>
    <row r="199" spans="8:8" x14ac:dyDescent="0.35">
      <c r="H199" s="33">
        <v>15101955</v>
      </c>
    </row>
    <row r="200" spans="8:8" x14ac:dyDescent="0.35">
      <c r="H200" s="33">
        <v>15101956</v>
      </c>
    </row>
    <row r="201" spans="8:8" x14ac:dyDescent="0.35">
      <c r="H201" s="33">
        <v>15101957</v>
      </c>
    </row>
    <row r="202" spans="8:8" x14ac:dyDescent="0.35">
      <c r="H202" s="33">
        <v>15101958</v>
      </c>
    </row>
    <row r="203" spans="8:8" x14ac:dyDescent="0.35">
      <c r="H203" s="33">
        <v>15101959</v>
      </c>
    </row>
    <row r="204" spans="8:8" x14ac:dyDescent="0.35">
      <c r="H204" s="33">
        <v>15101960</v>
      </c>
    </row>
    <row r="205" spans="8:8" x14ac:dyDescent="0.35">
      <c r="H205" s="33">
        <v>15101961</v>
      </c>
    </row>
    <row r="206" spans="8:8" x14ac:dyDescent="0.35">
      <c r="H206" s="33">
        <v>15101962</v>
      </c>
    </row>
    <row r="207" spans="8:8" x14ac:dyDescent="0.35">
      <c r="H207" s="33">
        <v>15101963</v>
      </c>
    </row>
    <row r="208" spans="8:8" x14ac:dyDescent="0.35">
      <c r="H208" s="33">
        <v>15101964</v>
      </c>
    </row>
    <row r="209" spans="8:8" x14ac:dyDescent="0.35">
      <c r="H209" s="33">
        <v>15101965</v>
      </c>
    </row>
    <row r="210" spans="8:8" x14ac:dyDescent="0.35">
      <c r="H210" s="33">
        <v>15101966</v>
      </c>
    </row>
    <row r="211" spans="8:8" x14ac:dyDescent="0.35">
      <c r="H211" s="33">
        <v>15101967</v>
      </c>
    </row>
    <row r="212" spans="8:8" x14ac:dyDescent="0.35">
      <c r="H212" s="33">
        <v>15101968</v>
      </c>
    </row>
    <row r="213" spans="8:8" x14ac:dyDescent="0.35">
      <c r="H213" s="33">
        <v>15101969</v>
      </c>
    </row>
    <row r="214" spans="8:8" x14ac:dyDescent="0.35">
      <c r="H214" s="33">
        <v>15101970</v>
      </c>
    </row>
    <row r="215" spans="8:8" x14ac:dyDescent="0.35">
      <c r="H215" s="33">
        <v>15101971</v>
      </c>
    </row>
    <row r="216" spans="8:8" x14ac:dyDescent="0.35">
      <c r="H216" s="33">
        <v>15101972</v>
      </c>
    </row>
    <row r="217" spans="8:8" x14ac:dyDescent="0.35">
      <c r="H217" s="33">
        <v>15101973</v>
      </c>
    </row>
    <row r="218" spans="8:8" x14ac:dyDescent="0.35">
      <c r="H218" s="33">
        <v>15101974</v>
      </c>
    </row>
    <row r="219" spans="8:8" x14ac:dyDescent="0.35">
      <c r="H219" s="33">
        <v>15101975</v>
      </c>
    </row>
    <row r="220" spans="8:8" x14ac:dyDescent="0.35">
      <c r="H220" s="33">
        <v>15101976</v>
      </c>
    </row>
    <row r="221" spans="8:8" x14ac:dyDescent="0.35">
      <c r="H221" s="33">
        <v>15101977</v>
      </c>
    </row>
    <row r="222" spans="8:8" x14ac:dyDescent="0.35">
      <c r="H222" s="33">
        <v>15101978</v>
      </c>
    </row>
    <row r="223" spans="8:8" x14ac:dyDescent="0.35">
      <c r="H223" s="33">
        <v>15101979</v>
      </c>
    </row>
    <row r="224" spans="8:8" x14ac:dyDescent="0.35">
      <c r="H224" s="33">
        <v>15101980</v>
      </c>
    </row>
    <row r="225" spans="8:8" x14ac:dyDescent="0.35">
      <c r="H225" s="33">
        <v>15101981</v>
      </c>
    </row>
    <row r="226" spans="8:8" x14ac:dyDescent="0.35">
      <c r="H226" s="33">
        <v>15101982</v>
      </c>
    </row>
    <row r="227" spans="8:8" x14ac:dyDescent="0.35">
      <c r="H227" s="33">
        <v>15101983</v>
      </c>
    </row>
    <row r="228" spans="8:8" x14ac:dyDescent="0.35">
      <c r="H228" s="33">
        <v>15101984</v>
      </c>
    </row>
    <row r="229" spans="8:8" x14ac:dyDescent="0.35">
      <c r="H229" s="33">
        <v>15101985</v>
      </c>
    </row>
    <row r="230" spans="8:8" x14ac:dyDescent="0.35">
      <c r="H230" s="33">
        <v>15101986</v>
      </c>
    </row>
    <row r="231" spans="8:8" x14ac:dyDescent="0.35">
      <c r="H231" s="33">
        <v>15101987</v>
      </c>
    </row>
    <row r="232" spans="8:8" x14ac:dyDescent="0.35">
      <c r="H232" s="33">
        <v>15101988</v>
      </c>
    </row>
    <row r="233" spans="8:8" x14ac:dyDescent="0.35">
      <c r="H233" s="33">
        <v>15101989</v>
      </c>
    </row>
    <row r="234" spans="8:8" x14ac:dyDescent="0.35">
      <c r="H234" s="33">
        <v>15101990</v>
      </c>
    </row>
    <row r="235" spans="8:8" x14ac:dyDescent="0.35">
      <c r="H235" s="33">
        <v>15101991</v>
      </c>
    </row>
    <row r="236" spans="8:8" x14ac:dyDescent="0.35">
      <c r="H236" s="33">
        <v>15101992</v>
      </c>
    </row>
    <row r="237" spans="8:8" x14ac:dyDescent="0.35">
      <c r="H237" s="33">
        <v>15101993</v>
      </c>
    </row>
    <row r="238" spans="8:8" x14ac:dyDescent="0.35">
      <c r="H238" s="33">
        <v>15101994</v>
      </c>
    </row>
    <row r="239" spans="8:8" x14ac:dyDescent="0.35">
      <c r="H239" s="33">
        <v>15101995</v>
      </c>
    </row>
    <row r="240" spans="8:8" x14ac:dyDescent="0.35">
      <c r="H240" s="33">
        <v>15101996</v>
      </c>
    </row>
    <row r="241" spans="8:8" x14ac:dyDescent="0.35">
      <c r="H241" s="33">
        <v>15101997</v>
      </c>
    </row>
    <row r="242" spans="8:8" x14ac:dyDescent="0.35">
      <c r="H242" s="33">
        <v>15101998</v>
      </c>
    </row>
    <row r="243" spans="8:8" x14ac:dyDescent="0.35">
      <c r="H243" s="33">
        <v>15101999</v>
      </c>
    </row>
    <row r="244" spans="8:8" x14ac:dyDescent="0.35">
      <c r="H244" s="33">
        <v>15102001</v>
      </c>
    </row>
    <row r="245" spans="8:8" x14ac:dyDescent="0.35">
      <c r="H245" s="33">
        <v>15102002</v>
      </c>
    </row>
    <row r="246" spans="8:8" x14ac:dyDescent="0.35">
      <c r="H246" s="33">
        <v>15102003</v>
      </c>
    </row>
    <row r="247" spans="8:8" x14ac:dyDescent="0.35">
      <c r="H247" s="33">
        <v>15102004</v>
      </c>
    </row>
    <row r="248" spans="8:8" x14ac:dyDescent="0.35">
      <c r="H248" s="33">
        <v>15102005</v>
      </c>
    </row>
    <row r="249" spans="8:8" x14ac:dyDescent="0.35">
      <c r="H249" s="33">
        <v>15102006</v>
      </c>
    </row>
    <row r="250" spans="8:8" x14ac:dyDescent="0.35">
      <c r="H250" s="33">
        <v>15102007</v>
      </c>
    </row>
    <row r="251" spans="8:8" x14ac:dyDescent="0.35">
      <c r="H251" s="33">
        <v>15102008</v>
      </c>
    </row>
    <row r="252" spans="8:8" x14ac:dyDescent="0.35">
      <c r="H252" s="33">
        <v>15102009</v>
      </c>
    </row>
    <row r="253" spans="8:8" x14ac:dyDescent="0.35">
      <c r="H253" s="33">
        <v>15102010</v>
      </c>
    </row>
    <row r="254" spans="8:8" x14ac:dyDescent="0.35">
      <c r="H254" s="33">
        <v>15102011</v>
      </c>
    </row>
    <row r="255" spans="8:8" x14ac:dyDescent="0.35">
      <c r="H255" s="33">
        <v>15102012</v>
      </c>
    </row>
    <row r="256" spans="8:8" x14ac:dyDescent="0.35">
      <c r="H256" s="33">
        <v>15102013</v>
      </c>
    </row>
    <row r="257" spans="8:8" x14ac:dyDescent="0.35">
      <c r="H257" s="33">
        <v>15102014</v>
      </c>
    </row>
    <row r="258" spans="8:8" x14ac:dyDescent="0.35">
      <c r="H258" s="33">
        <v>15102015</v>
      </c>
    </row>
    <row r="259" spans="8:8" x14ac:dyDescent="0.35">
      <c r="H259" s="33">
        <v>15102016</v>
      </c>
    </row>
    <row r="260" spans="8:8" x14ac:dyDescent="0.35">
      <c r="H260" s="33">
        <v>15102017</v>
      </c>
    </row>
    <row r="261" spans="8:8" x14ac:dyDescent="0.35">
      <c r="H261" s="33">
        <v>15102018</v>
      </c>
    </row>
    <row r="262" spans="8:8" x14ac:dyDescent="0.35">
      <c r="H262" s="33">
        <v>15102019</v>
      </c>
    </row>
    <row r="263" spans="8:8" x14ac:dyDescent="0.35">
      <c r="H263" s="33">
        <v>15102020</v>
      </c>
    </row>
    <row r="264" spans="8:8" x14ac:dyDescent="0.35">
      <c r="H264" s="33">
        <v>15102021</v>
      </c>
    </row>
    <row r="265" spans="8:8" x14ac:dyDescent="0.35">
      <c r="H265" s="33">
        <v>15102022</v>
      </c>
    </row>
    <row r="266" spans="8:8" x14ac:dyDescent="0.35">
      <c r="H266" s="33">
        <v>15102023</v>
      </c>
    </row>
    <row r="267" spans="8:8" x14ac:dyDescent="0.35">
      <c r="H267" s="33">
        <v>15102024</v>
      </c>
    </row>
    <row r="268" spans="8:8" x14ac:dyDescent="0.35">
      <c r="H268" s="33">
        <v>15102025</v>
      </c>
    </row>
    <row r="269" spans="8:8" x14ac:dyDescent="0.35">
      <c r="H269" s="33">
        <v>15102026</v>
      </c>
    </row>
    <row r="270" spans="8:8" x14ac:dyDescent="0.35">
      <c r="H270" s="33">
        <v>15102113</v>
      </c>
    </row>
    <row r="271" spans="8:8" x14ac:dyDescent="0.35">
      <c r="H271" s="33">
        <v>15102114</v>
      </c>
    </row>
    <row r="272" spans="8:8" x14ac:dyDescent="0.35">
      <c r="H272" s="33">
        <v>15102115</v>
      </c>
    </row>
    <row r="273" spans="8:8" x14ac:dyDescent="0.35">
      <c r="H273" s="33">
        <v>15102116</v>
      </c>
    </row>
    <row r="274" spans="8:8" x14ac:dyDescent="0.35">
      <c r="H274" s="33">
        <v>15102117</v>
      </c>
    </row>
    <row r="275" spans="8:8" x14ac:dyDescent="0.35">
      <c r="H275" s="33">
        <v>15102118</v>
      </c>
    </row>
    <row r="276" spans="8:8" x14ac:dyDescent="0.35">
      <c r="H276" s="33">
        <v>15102119</v>
      </c>
    </row>
    <row r="277" spans="8:8" x14ac:dyDescent="0.35">
      <c r="H277" s="33">
        <v>15102120</v>
      </c>
    </row>
    <row r="278" spans="8:8" x14ac:dyDescent="0.35">
      <c r="H278" s="33">
        <v>15102121</v>
      </c>
    </row>
    <row r="279" spans="8:8" x14ac:dyDescent="0.35">
      <c r="H279" s="33">
        <v>15102122</v>
      </c>
    </row>
    <row r="280" spans="8:8" x14ac:dyDescent="0.35">
      <c r="H280" s="33">
        <v>15102123</v>
      </c>
    </row>
    <row r="281" spans="8:8" x14ac:dyDescent="0.35">
      <c r="H281" s="33">
        <v>15102124</v>
      </c>
    </row>
    <row r="282" spans="8:8" x14ac:dyDescent="0.35">
      <c r="H282" s="33">
        <v>15102125</v>
      </c>
    </row>
    <row r="283" spans="8:8" x14ac:dyDescent="0.35">
      <c r="H283" s="33">
        <v>15102126</v>
      </c>
    </row>
    <row r="284" spans="8:8" x14ac:dyDescent="0.35">
      <c r="H284" s="33">
        <v>15102127</v>
      </c>
    </row>
    <row r="285" spans="8:8" x14ac:dyDescent="0.35">
      <c r="H285" s="33">
        <v>15102128</v>
      </c>
    </row>
    <row r="286" spans="8:8" x14ac:dyDescent="0.35">
      <c r="H286" s="33">
        <v>15102129</v>
      </c>
    </row>
    <row r="287" spans="8:8" x14ac:dyDescent="0.35">
      <c r="H287" s="33">
        <v>15102335</v>
      </c>
    </row>
    <row r="288" spans="8:8" x14ac:dyDescent="0.35">
      <c r="H288" s="33">
        <v>15102336</v>
      </c>
    </row>
    <row r="289" spans="8:8" x14ac:dyDescent="0.35">
      <c r="H289" s="33">
        <v>15102338</v>
      </c>
    </row>
    <row r="290" spans="8:8" x14ac:dyDescent="0.35">
      <c r="H290" s="33">
        <v>15102339</v>
      </c>
    </row>
    <row r="291" spans="8:8" x14ac:dyDescent="0.35">
      <c r="H291" s="33">
        <v>15102340</v>
      </c>
    </row>
    <row r="292" spans="8:8" x14ac:dyDescent="0.35">
      <c r="H292" s="33">
        <v>15102341</v>
      </c>
    </row>
    <row r="293" spans="8:8" x14ac:dyDescent="0.35">
      <c r="H293" s="33">
        <v>15102342</v>
      </c>
    </row>
    <row r="294" spans="8:8" x14ac:dyDescent="0.35">
      <c r="H294" s="33">
        <v>15102343</v>
      </c>
    </row>
    <row r="295" spans="8:8" x14ac:dyDescent="0.35">
      <c r="H295" s="33">
        <v>15102344</v>
      </c>
    </row>
    <row r="296" spans="8:8" x14ac:dyDescent="0.35">
      <c r="H296" s="33">
        <v>15102345</v>
      </c>
    </row>
    <row r="297" spans="8:8" x14ac:dyDescent="0.35">
      <c r="H297" s="33">
        <v>15102346</v>
      </c>
    </row>
    <row r="298" spans="8:8" x14ac:dyDescent="0.35">
      <c r="H298" s="33">
        <v>15102347</v>
      </c>
    </row>
    <row r="299" spans="8:8" x14ac:dyDescent="0.35">
      <c r="H299" s="33">
        <v>15102348</v>
      </c>
    </row>
    <row r="300" spans="8:8" x14ac:dyDescent="0.35">
      <c r="H300" s="33">
        <v>15102350</v>
      </c>
    </row>
    <row r="301" spans="8:8" x14ac:dyDescent="0.35">
      <c r="H301" s="33">
        <v>15102351</v>
      </c>
    </row>
    <row r="302" spans="8:8" x14ac:dyDescent="0.35">
      <c r="H302" s="33">
        <v>15102352</v>
      </c>
    </row>
    <row r="303" spans="8:8" x14ac:dyDescent="0.35">
      <c r="H303" s="33">
        <v>15102353</v>
      </c>
    </row>
    <row r="304" spans="8:8" x14ac:dyDescent="0.35">
      <c r="H304" s="33">
        <v>15102354</v>
      </c>
    </row>
    <row r="305" spans="8:8" x14ac:dyDescent="0.35">
      <c r="H305" s="33">
        <v>15102355</v>
      </c>
    </row>
    <row r="306" spans="8:8" x14ac:dyDescent="0.35">
      <c r="H306" s="33">
        <v>15102356</v>
      </c>
    </row>
    <row r="307" spans="8:8" x14ac:dyDescent="0.35">
      <c r="H307" s="33">
        <v>15102357</v>
      </c>
    </row>
    <row r="308" spans="8:8" x14ac:dyDescent="0.35">
      <c r="H308" s="33">
        <v>15102358</v>
      </c>
    </row>
    <row r="309" spans="8:8" x14ac:dyDescent="0.35">
      <c r="H309" s="33">
        <v>15102359</v>
      </c>
    </row>
    <row r="310" spans="8:8" x14ac:dyDescent="0.35">
      <c r="H310" s="33">
        <v>15102360</v>
      </c>
    </row>
    <row r="311" spans="8:8" x14ac:dyDescent="0.35">
      <c r="H311" s="33">
        <v>15102361</v>
      </c>
    </row>
    <row r="312" spans="8:8" x14ac:dyDescent="0.35">
      <c r="H312" s="33">
        <v>15102362</v>
      </c>
    </row>
    <row r="313" spans="8:8" x14ac:dyDescent="0.35">
      <c r="H313" s="33">
        <v>15102363</v>
      </c>
    </row>
    <row r="314" spans="8:8" x14ac:dyDescent="0.35">
      <c r="H314" s="33">
        <v>15102364</v>
      </c>
    </row>
    <row r="315" spans="8:8" x14ac:dyDescent="0.35">
      <c r="H315" s="33">
        <v>15102365</v>
      </c>
    </row>
  </sheetData>
  <sheetProtection algorithmName="SHA-512" hashValue="ZQrXzOG30Zq+f//ESf8fZzkGUPk6loDolszLZBOVFgBIVrMcNke6pRNmQx6aGOa0zTPnhBg87viBb1tNSrEqMw==" saltValue="BCk7hApavcpg5CTg4uJMPg==" spinCount="100000" sheet="1" objects="1" scenarios="1"/>
  <dataValidations count="2">
    <dataValidation type="whole" operator="lessThan" allowBlank="1" showInputMessage="1" showErrorMessage="1" sqref="F5" xr:uid="{00000000-0002-0000-0000-000000000000}">
      <formula1>D5</formula1>
    </dataValidation>
    <dataValidation type="whole" operator="greaterThan" allowBlank="1" showInputMessage="1" showErrorMessage="1" errorTitle="Positive Integer" error="Positive Integer daal de KHAPITAR!!!" promptTitle="Roll No" prompt="Roll Number must be a Positive Integeer" sqref="H3:AK3" xr:uid="{00000000-0002-0000-0000-000001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SEATING">
                <anchor moveWithCells="1">
                  <from>
                    <xdr:col>8</xdr:col>
                    <xdr:colOff>520700</xdr:colOff>
                    <xdr:row>8</xdr:row>
                    <xdr:rowOff>279400</xdr:rowOff>
                  </from>
                  <to>
                    <xdr:col>11</xdr:col>
                    <xdr:colOff>596900</xdr:colOff>
                    <xdr:row>9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398F0E50-0C26-43FF-BF6A-FC1DE2D00290}">
            <xm:f>NOT(ISERROR(SEARCH("Not Sufficient",D9)))</xm:f>
            <xm:f>"Not Sufficient"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containsText" priority="1" operator="containsText" id="{32973BBE-2FCC-44BF-B0B1-A70BE01C101B}">
            <xm:f>NOT(ISERROR(SEARCH("Not Sufficient",F9)))</xm:f>
            <xm:f>"Not Sufficient"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m:sqref>F9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431"/>
  <sheetViews>
    <sheetView tabSelected="1" topLeftCell="C36" zoomScale="55" zoomScaleNormal="55" workbookViewId="0">
      <selection activeCell="D7" sqref="D7"/>
    </sheetView>
  </sheetViews>
  <sheetFormatPr defaultColWidth="21.453125" defaultRowHeight="31.5" customHeight="1" x14ac:dyDescent="0.35"/>
  <cols>
    <col min="1" max="6" width="30" style="35" customWidth="1"/>
    <col min="7" max="16384" width="21.453125" style="35"/>
  </cols>
  <sheetData>
    <row r="1" spans="1:6" ht="31.5" customHeight="1" x14ac:dyDescent="0.35">
      <c r="A1" s="36" t="s">
        <v>150</v>
      </c>
    </row>
    <row r="2" spans="1:6" ht="31.5" customHeight="1" x14ac:dyDescent="0.35">
      <c r="A2" s="35" t="s">
        <v>31</v>
      </c>
      <c r="B2" s="37" t="s">
        <v>30</v>
      </c>
    </row>
    <row r="3" spans="1:6" ht="31.5" customHeight="1" x14ac:dyDescent="0.35">
      <c r="A3" s="35" t="s">
        <v>29</v>
      </c>
      <c r="B3" s="37">
        <v>822018</v>
      </c>
    </row>
    <row r="4" spans="1:6" ht="31.5" customHeight="1" x14ac:dyDescent="0.35">
      <c r="A4" s="35" t="s">
        <v>15</v>
      </c>
      <c r="B4" s="37" t="s">
        <v>127</v>
      </c>
    </row>
    <row r="5" spans="1:6" ht="31.5" customHeight="1" x14ac:dyDescent="0.35">
      <c r="A5" s="35" t="s">
        <v>32</v>
      </c>
      <c r="B5" s="37" t="s">
        <v>129</v>
      </c>
    </row>
    <row r="6" spans="1:6" ht="31.5" customHeight="1" x14ac:dyDescent="0.35">
      <c r="A6" s="35" t="s">
        <v>33</v>
      </c>
      <c r="B6" s="37" t="s">
        <v>128</v>
      </c>
    </row>
    <row r="8" spans="1:6" ht="31.5" customHeight="1" x14ac:dyDescent="0.35">
      <c r="A8" s="39" t="s">
        <v>152</v>
      </c>
    </row>
    <row r="9" spans="1:6" ht="31.5" customHeight="1" x14ac:dyDescent="0.35">
      <c r="A9" s="40" t="s">
        <v>34</v>
      </c>
      <c r="B9" s="40" t="s">
        <v>35</v>
      </c>
      <c r="C9" s="40" t="s">
        <v>34</v>
      </c>
      <c r="D9" s="40" t="s">
        <v>35</v>
      </c>
      <c r="E9" s="40" t="s">
        <v>34</v>
      </c>
      <c r="F9" s="40" t="s">
        <v>35</v>
      </c>
    </row>
    <row r="10" spans="1:6" ht="31.5" customHeight="1" x14ac:dyDescent="0.35">
      <c r="A10" s="41">
        <v>15100675</v>
      </c>
      <c r="B10" s="41"/>
      <c r="C10" s="41">
        <v>15100681</v>
      </c>
      <c r="D10" s="41"/>
      <c r="E10" s="41">
        <v>15100687</v>
      </c>
      <c r="F10" s="41"/>
    </row>
    <row r="11" spans="1:6" ht="31.5" customHeight="1" x14ac:dyDescent="0.35">
      <c r="A11" s="41">
        <v>15100676</v>
      </c>
      <c r="B11" s="41"/>
      <c r="C11" s="41">
        <v>15100682</v>
      </c>
      <c r="D11" s="41"/>
      <c r="E11" s="41">
        <v>15100688</v>
      </c>
      <c r="F11" s="41"/>
    </row>
    <row r="12" spans="1:6" ht="31.5" customHeight="1" x14ac:dyDescent="0.35">
      <c r="A12" s="41">
        <v>15100677</v>
      </c>
      <c r="B12" s="41"/>
      <c r="C12" s="41">
        <v>15100683</v>
      </c>
      <c r="D12" s="41"/>
      <c r="E12" s="41">
        <v>15100689</v>
      </c>
      <c r="F12" s="41"/>
    </row>
    <row r="13" spans="1:6" ht="31.5" customHeight="1" x14ac:dyDescent="0.35">
      <c r="A13" s="41">
        <v>15100678</v>
      </c>
      <c r="B13" s="41"/>
      <c r="C13" s="41">
        <v>15100684</v>
      </c>
      <c r="D13" s="41"/>
      <c r="E13" s="41">
        <v>15100690</v>
      </c>
      <c r="F13" s="41"/>
    </row>
    <row r="14" spans="1:6" ht="31.5" customHeight="1" x14ac:dyDescent="0.35">
      <c r="A14" s="41">
        <v>15100679</v>
      </c>
      <c r="B14" s="41"/>
      <c r="C14" s="41">
        <v>15100685</v>
      </c>
      <c r="D14" s="41"/>
      <c r="E14" s="41">
        <v>15100691</v>
      </c>
      <c r="F14" s="41"/>
    </row>
    <row r="15" spans="1:6" ht="31.5" customHeight="1" x14ac:dyDescent="0.35">
      <c r="A15" s="41">
        <v>15100680</v>
      </c>
      <c r="B15" s="41"/>
      <c r="C15" s="41">
        <v>15100686</v>
      </c>
      <c r="D15" s="41"/>
      <c r="E15" s="41">
        <v>15100692</v>
      </c>
      <c r="F15" s="41"/>
    </row>
    <row r="17" spans="1:6" ht="31.5" customHeight="1" x14ac:dyDescent="0.45">
      <c r="A17" s="35" t="s">
        <v>151</v>
      </c>
      <c r="E17" s="42" t="s">
        <v>36</v>
      </c>
      <c r="F17" s="43">
        <v>18</v>
      </c>
    </row>
    <row r="18" spans="1:6" ht="31.5" customHeight="1" x14ac:dyDescent="0.35">
      <c r="A18" s="38">
        <v>1</v>
      </c>
      <c r="E18" s="44" t="s">
        <v>37</v>
      </c>
      <c r="F18" s="44"/>
    </row>
    <row r="19" spans="1:6" ht="31.5" customHeight="1" x14ac:dyDescent="0.35">
      <c r="A19" s="38">
        <v>2</v>
      </c>
      <c r="E19" s="44" t="s">
        <v>38</v>
      </c>
      <c r="F19" s="44"/>
    </row>
    <row r="23" spans="1:6" ht="31.5" customHeight="1" x14ac:dyDescent="0.35">
      <c r="F23" s="45" t="s">
        <v>39</v>
      </c>
    </row>
    <row r="25" spans="1:6" ht="31.5" customHeight="1" x14ac:dyDescent="0.35">
      <c r="A25" s="36" t="s">
        <v>150</v>
      </c>
    </row>
    <row r="26" spans="1:6" ht="31.5" customHeight="1" x14ac:dyDescent="0.35">
      <c r="A26" s="35" t="s">
        <v>31</v>
      </c>
      <c r="B26" s="37" t="s">
        <v>30</v>
      </c>
    </row>
    <row r="27" spans="1:6" ht="31.5" customHeight="1" x14ac:dyDescent="0.35">
      <c r="A27" s="35" t="s">
        <v>29</v>
      </c>
      <c r="B27" s="37">
        <v>822018</v>
      </c>
    </row>
    <row r="28" spans="1:6" ht="31.5" customHeight="1" x14ac:dyDescent="0.35">
      <c r="A28" s="35" t="s">
        <v>15</v>
      </c>
      <c r="B28" s="37" t="s">
        <v>127</v>
      </c>
    </row>
    <row r="29" spans="1:6" ht="31.5" customHeight="1" x14ac:dyDescent="0.35">
      <c r="A29" s="35" t="s">
        <v>32</v>
      </c>
      <c r="B29" s="37" t="s">
        <v>129</v>
      </c>
    </row>
    <row r="30" spans="1:6" ht="31.5" customHeight="1" x14ac:dyDescent="0.35">
      <c r="A30" s="35" t="s">
        <v>33</v>
      </c>
      <c r="B30" s="37" t="s">
        <v>128</v>
      </c>
    </row>
    <row r="32" spans="1:6" ht="31.5" customHeight="1" x14ac:dyDescent="0.35">
      <c r="A32" s="39" t="s">
        <v>153</v>
      </c>
    </row>
    <row r="33" spans="1:6" ht="31.5" customHeight="1" x14ac:dyDescent="0.35">
      <c r="A33" s="40" t="s">
        <v>34</v>
      </c>
      <c r="B33" s="40" t="s">
        <v>35</v>
      </c>
      <c r="C33" s="40" t="s">
        <v>34</v>
      </c>
      <c r="D33" s="40" t="s">
        <v>35</v>
      </c>
      <c r="E33" s="40" t="s">
        <v>34</v>
      </c>
      <c r="F33" s="40" t="s">
        <v>35</v>
      </c>
    </row>
    <row r="34" spans="1:6" ht="31.5" customHeight="1" x14ac:dyDescent="0.35">
      <c r="A34" s="41">
        <v>15100693</v>
      </c>
      <c r="B34" s="41"/>
      <c r="C34" s="41">
        <v>15100699</v>
      </c>
      <c r="D34" s="41"/>
      <c r="E34" s="41">
        <v>15100705</v>
      </c>
      <c r="F34" s="41"/>
    </row>
    <row r="35" spans="1:6" ht="31.5" customHeight="1" x14ac:dyDescent="0.35">
      <c r="A35" s="41">
        <v>15100694</v>
      </c>
      <c r="B35" s="41"/>
      <c r="C35" s="41">
        <v>15100700</v>
      </c>
      <c r="D35" s="41"/>
      <c r="E35" s="41">
        <v>15100706</v>
      </c>
      <c r="F35" s="41"/>
    </row>
    <row r="36" spans="1:6" ht="31.5" customHeight="1" x14ac:dyDescent="0.35">
      <c r="A36" s="41">
        <v>15100695</v>
      </c>
      <c r="B36" s="41"/>
      <c r="C36" s="41">
        <v>15100701</v>
      </c>
      <c r="D36" s="41"/>
      <c r="E36" s="41">
        <v>15100707</v>
      </c>
      <c r="F36" s="41"/>
    </row>
    <row r="37" spans="1:6" ht="31.5" customHeight="1" x14ac:dyDescent="0.35">
      <c r="A37" s="41">
        <v>15100696</v>
      </c>
      <c r="B37" s="41"/>
      <c r="C37" s="41">
        <v>15100702</v>
      </c>
      <c r="D37" s="41"/>
      <c r="E37" s="41">
        <v>15100708</v>
      </c>
      <c r="F37" s="41"/>
    </row>
    <row r="38" spans="1:6" ht="31.5" customHeight="1" x14ac:dyDescent="0.35">
      <c r="A38" s="41">
        <v>15100697</v>
      </c>
      <c r="B38" s="41"/>
      <c r="C38" s="41">
        <v>15100703</v>
      </c>
      <c r="D38" s="41"/>
      <c r="E38" s="41">
        <v>15100709</v>
      </c>
      <c r="F38" s="41"/>
    </row>
    <row r="39" spans="1:6" ht="31.5" customHeight="1" x14ac:dyDescent="0.35">
      <c r="A39" s="41">
        <v>15100698</v>
      </c>
      <c r="B39" s="41"/>
      <c r="C39" s="41">
        <v>15100704</v>
      </c>
      <c r="D39" s="41"/>
      <c r="E39" s="41">
        <v>15100710</v>
      </c>
      <c r="F39" s="41"/>
    </row>
    <row r="41" spans="1:6" ht="31.5" customHeight="1" x14ac:dyDescent="0.45">
      <c r="A41" s="35" t="s">
        <v>151</v>
      </c>
      <c r="E41" s="42" t="s">
        <v>36</v>
      </c>
      <c r="F41" s="43">
        <v>18</v>
      </c>
    </row>
    <row r="42" spans="1:6" ht="31.5" customHeight="1" x14ac:dyDescent="0.35">
      <c r="A42" s="38">
        <v>1</v>
      </c>
      <c r="E42" s="44" t="s">
        <v>37</v>
      </c>
      <c r="F42" s="44"/>
    </row>
    <row r="43" spans="1:6" ht="31.5" customHeight="1" x14ac:dyDescent="0.35">
      <c r="A43" s="38">
        <v>2</v>
      </c>
      <c r="E43" s="44" t="s">
        <v>38</v>
      </c>
      <c r="F43" s="44"/>
    </row>
    <row r="47" spans="1:6" ht="31.5" customHeight="1" x14ac:dyDescent="0.35">
      <c r="F47" s="45" t="s">
        <v>39</v>
      </c>
    </row>
    <row r="49" spans="1:6" ht="31.5" customHeight="1" x14ac:dyDescent="0.35">
      <c r="A49" s="36" t="s">
        <v>150</v>
      </c>
    </row>
    <row r="50" spans="1:6" ht="31.5" customHeight="1" x14ac:dyDescent="0.35">
      <c r="A50" s="35" t="s">
        <v>31</v>
      </c>
      <c r="B50" s="37" t="s">
        <v>30</v>
      </c>
    </row>
    <row r="51" spans="1:6" ht="31.5" customHeight="1" x14ac:dyDescent="0.35">
      <c r="A51" s="35" t="s">
        <v>29</v>
      </c>
      <c r="B51" s="37">
        <v>822018</v>
      </c>
    </row>
    <row r="52" spans="1:6" ht="31.5" customHeight="1" x14ac:dyDescent="0.35">
      <c r="A52" s="35" t="s">
        <v>15</v>
      </c>
      <c r="B52" s="37" t="s">
        <v>127</v>
      </c>
    </row>
    <row r="53" spans="1:6" ht="31.5" customHeight="1" x14ac:dyDescent="0.35">
      <c r="A53" s="35" t="s">
        <v>32</v>
      </c>
      <c r="B53" s="37" t="s">
        <v>129</v>
      </c>
    </row>
    <row r="54" spans="1:6" ht="31.5" customHeight="1" x14ac:dyDescent="0.35">
      <c r="A54" s="35" t="s">
        <v>33</v>
      </c>
      <c r="B54" s="37" t="s">
        <v>128</v>
      </c>
    </row>
    <row r="56" spans="1:6" ht="31.5" customHeight="1" x14ac:dyDescent="0.35">
      <c r="A56" s="39" t="s">
        <v>154</v>
      </c>
    </row>
    <row r="57" spans="1:6" ht="31.5" customHeight="1" x14ac:dyDescent="0.35">
      <c r="A57" s="40" t="s">
        <v>34</v>
      </c>
      <c r="B57" s="40" t="s">
        <v>35</v>
      </c>
      <c r="C57" s="40" t="s">
        <v>34</v>
      </c>
      <c r="D57" s="40" t="s">
        <v>35</v>
      </c>
      <c r="E57" s="40" t="s">
        <v>34</v>
      </c>
      <c r="F57" s="40" t="s">
        <v>35</v>
      </c>
    </row>
    <row r="58" spans="1:6" ht="31.5" customHeight="1" x14ac:dyDescent="0.35">
      <c r="A58" s="41">
        <v>15100711</v>
      </c>
      <c r="B58" s="41"/>
      <c r="C58" s="41">
        <v>15100717</v>
      </c>
      <c r="D58" s="41"/>
      <c r="E58" s="41">
        <v>15100723</v>
      </c>
      <c r="F58" s="41"/>
    </row>
    <row r="59" spans="1:6" ht="31.5" customHeight="1" x14ac:dyDescent="0.35">
      <c r="A59" s="41">
        <v>15100712</v>
      </c>
      <c r="B59" s="41"/>
      <c r="C59" s="41">
        <v>15100718</v>
      </c>
      <c r="D59" s="41"/>
      <c r="E59" s="41">
        <v>15100724</v>
      </c>
      <c r="F59" s="41"/>
    </row>
    <row r="60" spans="1:6" ht="31.5" customHeight="1" x14ac:dyDescent="0.35">
      <c r="A60" s="41">
        <v>15100713</v>
      </c>
      <c r="B60" s="41"/>
      <c r="C60" s="41">
        <v>15100719</v>
      </c>
      <c r="D60" s="41"/>
      <c r="E60" s="41">
        <v>15100725</v>
      </c>
      <c r="F60" s="41"/>
    </row>
    <row r="61" spans="1:6" ht="31.5" customHeight="1" x14ac:dyDescent="0.35">
      <c r="A61" s="41">
        <v>15100714</v>
      </c>
      <c r="B61" s="41"/>
      <c r="C61" s="41">
        <v>15100720</v>
      </c>
      <c r="D61" s="41"/>
      <c r="E61" s="41">
        <v>15100726</v>
      </c>
      <c r="F61" s="41"/>
    </row>
    <row r="62" spans="1:6" ht="31.5" customHeight="1" x14ac:dyDescent="0.35">
      <c r="A62" s="41">
        <v>15100715</v>
      </c>
      <c r="B62" s="41"/>
      <c r="C62" s="41">
        <v>15100721</v>
      </c>
      <c r="D62" s="41"/>
      <c r="E62" s="41">
        <v>15100727</v>
      </c>
      <c r="F62" s="41"/>
    </row>
    <row r="63" spans="1:6" ht="31.5" customHeight="1" x14ac:dyDescent="0.35">
      <c r="A63" s="41">
        <v>15100716</v>
      </c>
      <c r="B63" s="41"/>
      <c r="C63" s="41">
        <v>15100722</v>
      </c>
      <c r="D63" s="41"/>
      <c r="E63" s="41">
        <v>15100728</v>
      </c>
      <c r="F63" s="41"/>
    </row>
    <row r="65" spans="1:6" ht="31.5" customHeight="1" x14ac:dyDescent="0.45">
      <c r="A65" s="35" t="s">
        <v>151</v>
      </c>
      <c r="E65" s="42" t="s">
        <v>36</v>
      </c>
      <c r="F65" s="43">
        <v>18</v>
      </c>
    </row>
    <row r="66" spans="1:6" ht="31.5" customHeight="1" x14ac:dyDescent="0.35">
      <c r="A66" s="38">
        <v>1</v>
      </c>
      <c r="E66" s="44" t="s">
        <v>37</v>
      </c>
      <c r="F66" s="44"/>
    </row>
    <row r="67" spans="1:6" ht="31.5" customHeight="1" x14ac:dyDescent="0.35">
      <c r="A67" s="38">
        <v>2</v>
      </c>
      <c r="E67" s="44" t="s">
        <v>38</v>
      </c>
      <c r="F67" s="44"/>
    </row>
    <row r="71" spans="1:6" ht="31.5" customHeight="1" x14ac:dyDescent="0.35">
      <c r="F71" s="45" t="s">
        <v>39</v>
      </c>
    </row>
    <row r="73" spans="1:6" ht="31.5" customHeight="1" x14ac:dyDescent="0.35">
      <c r="A73" s="36" t="s">
        <v>150</v>
      </c>
    </row>
    <row r="74" spans="1:6" ht="31.5" customHeight="1" x14ac:dyDescent="0.35">
      <c r="A74" s="35" t="s">
        <v>31</v>
      </c>
      <c r="B74" s="37" t="s">
        <v>30</v>
      </c>
    </row>
    <row r="75" spans="1:6" ht="31.5" customHeight="1" x14ac:dyDescent="0.35">
      <c r="A75" s="35" t="s">
        <v>29</v>
      </c>
      <c r="B75" s="37">
        <v>822018</v>
      </c>
    </row>
    <row r="76" spans="1:6" ht="31.5" customHeight="1" x14ac:dyDescent="0.35">
      <c r="A76" s="35" t="s">
        <v>15</v>
      </c>
      <c r="B76" s="37" t="s">
        <v>127</v>
      </c>
    </row>
    <row r="77" spans="1:6" ht="31.5" customHeight="1" x14ac:dyDescent="0.35">
      <c r="A77" s="35" t="s">
        <v>32</v>
      </c>
      <c r="B77" s="37" t="s">
        <v>129</v>
      </c>
    </row>
    <row r="78" spans="1:6" ht="31.5" customHeight="1" x14ac:dyDescent="0.35">
      <c r="A78" s="35" t="s">
        <v>33</v>
      </c>
      <c r="B78" s="37" t="s">
        <v>128</v>
      </c>
    </row>
    <row r="80" spans="1:6" ht="31.5" customHeight="1" x14ac:dyDescent="0.35">
      <c r="A80" s="39" t="s">
        <v>155</v>
      </c>
    </row>
    <row r="81" spans="1:6" ht="31.5" customHeight="1" x14ac:dyDescent="0.35">
      <c r="A81" s="40" t="s">
        <v>34</v>
      </c>
      <c r="B81" s="40" t="s">
        <v>35</v>
      </c>
      <c r="C81" s="40" t="s">
        <v>34</v>
      </c>
      <c r="D81" s="40" t="s">
        <v>35</v>
      </c>
      <c r="E81" s="40" t="s">
        <v>34</v>
      </c>
      <c r="F81" s="40" t="s">
        <v>35</v>
      </c>
    </row>
    <row r="82" spans="1:6" ht="31.5" customHeight="1" x14ac:dyDescent="0.35">
      <c r="A82" s="41">
        <v>15100729</v>
      </c>
      <c r="B82" s="41"/>
      <c r="C82" s="41">
        <v>15100735</v>
      </c>
      <c r="D82" s="41"/>
      <c r="E82" s="41">
        <v>15100741</v>
      </c>
      <c r="F82" s="41"/>
    </row>
    <row r="83" spans="1:6" ht="31.5" customHeight="1" x14ac:dyDescent="0.35">
      <c r="A83" s="41">
        <v>15100730</v>
      </c>
      <c r="B83" s="41"/>
      <c r="C83" s="41">
        <v>15100736</v>
      </c>
      <c r="D83" s="41"/>
      <c r="E83" s="41">
        <v>15100742</v>
      </c>
      <c r="F83" s="41"/>
    </row>
    <row r="84" spans="1:6" ht="31.5" customHeight="1" x14ac:dyDescent="0.35">
      <c r="A84" s="41">
        <v>15100731</v>
      </c>
      <c r="B84" s="41"/>
      <c r="C84" s="41">
        <v>15100737</v>
      </c>
      <c r="D84" s="41"/>
      <c r="E84" s="41">
        <v>15101827</v>
      </c>
      <c r="F84" s="41"/>
    </row>
    <row r="85" spans="1:6" ht="31.5" customHeight="1" x14ac:dyDescent="0.35">
      <c r="A85" s="41">
        <v>15100732</v>
      </c>
      <c r="B85" s="41"/>
      <c r="C85" s="41">
        <v>15100738</v>
      </c>
      <c r="D85" s="41"/>
      <c r="E85" s="41">
        <v>15101828</v>
      </c>
      <c r="F85" s="41"/>
    </row>
    <row r="86" spans="1:6" ht="31.5" customHeight="1" x14ac:dyDescent="0.35">
      <c r="A86" s="41">
        <v>15100733</v>
      </c>
      <c r="B86" s="41"/>
      <c r="C86" s="41">
        <v>15100739</v>
      </c>
      <c r="D86" s="41"/>
      <c r="E86" s="41">
        <v>15101829</v>
      </c>
      <c r="F86" s="41"/>
    </row>
    <row r="87" spans="1:6" ht="31.5" customHeight="1" x14ac:dyDescent="0.35">
      <c r="A87" s="41">
        <v>15100734</v>
      </c>
      <c r="B87" s="41"/>
      <c r="C87" s="41">
        <v>15100740</v>
      </c>
      <c r="D87" s="41"/>
      <c r="E87" s="41">
        <v>15101830</v>
      </c>
      <c r="F87" s="41"/>
    </row>
    <row r="89" spans="1:6" ht="31.5" customHeight="1" x14ac:dyDescent="0.45">
      <c r="A89" s="35" t="s">
        <v>151</v>
      </c>
      <c r="E89" s="42" t="s">
        <v>36</v>
      </c>
      <c r="F89" s="43">
        <v>18</v>
      </c>
    </row>
    <row r="90" spans="1:6" ht="31.5" customHeight="1" x14ac:dyDescent="0.35">
      <c r="A90" s="38">
        <v>1</v>
      </c>
      <c r="E90" s="44" t="s">
        <v>37</v>
      </c>
      <c r="F90" s="44"/>
    </row>
    <row r="91" spans="1:6" ht="31.5" customHeight="1" x14ac:dyDescent="0.35">
      <c r="A91" s="38">
        <v>2</v>
      </c>
      <c r="E91" s="44" t="s">
        <v>38</v>
      </c>
      <c r="F91" s="44"/>
    </row>
    <row r="95" spans="1:6" ht="31.5" customHeight="1" x14ac:dyDescent="0.35">
      <c r="F95" s="45" t="s">
        <v>39</v>
      </c>
    </row>
    <row r="97" spans="1:6" ht="31.5" customHeight="1" x14ac:dyDescent="0.35">
      <c r="A97" s="36" t="s">
        <v>150</v>
      </c>
    </row>
    <row r="98" spans="1:6" ht="31.5" customHeight="1" x14ac:dyDescent="0.35">
      <c r="A98" s="35" t="s">
        <v>31</v>
      </c>
      <c r="B98" s="37" t="s">
        <v>30</v>
      </c>
    </row>
    <row r="99" spans="1:6" ht="31.5" customHeight="1" x14ac:dyDescent="0.35">
      <c r="A99" s="35" t="s">
        <v>29</v>
      </c>
      <c r="B99" s="37">
        <v>822018</v>
      </c>
    </row>
    <row r="100" spans="1:6" ht="31.5" customHeight="1" x14ac:dyDescent="0.35">
      <c r="A100" s="35" t="s">
        <v>15</v>
      </c>
      <c r="B100" s="37" t="s">
        <v>127</v>
      </c>
    </row>
    <row r="101" spans="1:6" ht="31.5" customHeight="1" x14ac:dyDescent="0.35">
      <c r="A101" s="35" t="s">
        <v>32</v>
      </c>
      <c r="B101" s="37" t="s">
        <v>129</v>
      </c>
    </row>
    <row r="102" spans="1:6" ht="31.5" customHeight="1" x14ac:dyDescent="0.35">
      <c r="A102" s="35" t="s">
        <v>33</v>
      </c>
      <c r="B102" s="37" t="s">
        <v>128</v>
      </c>
    </row>
    <row r="104" spans="1:6" ht="31.5" customHeight="1" x14ac:dyDescent="0.35">
      <c r="A104" s="39" t="s">
        <v>156</v>
      </c>
    </row>
    <row r="105" spans="1:6" ht="31.5" customHeight="1" x14ac:dyDescent="0.35">
      <c r="A105" s="40" t="s">
        <v>34</v>
      </c>
      <c r="B105" s="40" t="s">
        <v>35</v>
      </c>
      <c r="C105" s="40" t="s">
        <v>34</v>
      </c>
      <c r="D105" s="40" t="s">
        <v>35</v>
      </c>
      <c r="E105" s="40" t="s">
        <v>34</v>
      </c>
      <c r="F105" s="40" t="s">
        <v>35</v>
      </c>
    </row>
    <row r="106" spans="1:6" ht="31.5" customHeight="1" x14ac:dyDescent="0.35">
      <c r="A106" s="41">
        <v>15101831</v>
      </c>
      <c r="B106" s="41"/>
      <c r="C106" s="41">
        <v>15101837</v>
      </c>
      <c r="D106" s="41"/>
      <c r="E106" s="41">
        <v>15101843</v>
      </c>
      <c r="F106" s="41"/>
    </row>
    <row r="107" spans="1:6" ht="31.5" customHeight="1" x14ac:dyDescent="0.35">
      <c r="A107" s="41">
        <v>15101832</v>
      </c>
      <c r="B107" s="41"/>
      <c r="C107" s="41">
        <v>15101838</v>
      </c>
      <c r="D107" s="41"/>
      <c r="E107" s="41">
        <v>15101844</v>
      </c>
      <c r="F107" s="41"/>
    </row>
    <row r="108" spans="1:6" ht="31.5" customHeight="1" x14ac:dyDescent="0.35">
      <c r="A108" s="41">
        <v>15101833</v>
      </c>
      <c r="B108" s="41"/>
      <c r="C108" s="41">
        <v>15101839</v>
      </c>
      <c r="D108" s="41"/>
      <c r="E108" s="41">
        <v>15101845</v>
      </c>
      <c r="F108" s="41"/>
    </row>
    <row r="109" spans="1:6" ht="31.5" customHeight="1" x14ac:dyDescent="0.35">
      <c r="A109" s="41">
        <v>15101834</v>
      </c>
      <c r="B109" s="41"/>
      <c r="C109" s="41">
        <v>15101840</v>
      </c>
      <c r="D109" s="41"/>
      <c r="E109" s="41">
        <v>15101846</v>
      </c>
      <c r="F109" s="41"/>
    </row>
    <row r="110" spans="1:6" ht="31.5" customHeight="1" x14ac:dyDescent="0.35">
      <c r="A110" s="41">
        <v>15101835</v>
      </c>
      <c r="B110" s="41"/>
      <c r="C110" s="41">
        <v>15101841</v>
      </c>
      <c r="D110" s="41"/>
      <c r="E110" s="41">
        <v>15101847</v>
      </c>
      <c r="F110" s="41"/>
    </row>
    <row r="111" spans="1:6" ht="31.5" customHeight="1" x14ac:dyDescent="0.35">
      <c r="A111" s="41">
        <v>15101836</v>
      </c>
      <c r="B111" s="41"/>
      <c r="C111" s="41">
        <v>15101842</v>
      </c>
      <c r="D111" s="41"/>
      <c r="E111" s="41">
        <v>15101848</v>
      </c>
      <c r="F111" s="41"/>
    </row>
    <row r="113" spans="1:6" ht="31.5" customHeight="1" x14ac:dyDescent="0.45">
      <c r="A113" s="35" t="s">
        <v>151</v>
      </c>
      <c r="E113" s="42" t="s">
        <v>36</v>
      </c>
      <c r="F113" s="43">
        <v>18</v>
      </c>
    </row>
    <row r="114" spans="1:6" ht="31.5" customHeight="1" x14ac:dyDescent="0.35">
      <c r="A114" s="38">
        <v>1</v>
      </c>
      <c r="E114" s="44" t="s">
        <v>37</v>
      </c>
      <c r="F114" s="44"/>
    </row>
    <row r="115" spans="1:6" ht="31.5" customHeight="1" x14ac:dyDescent="0.35">
      <c r="A115" s="38">
        <v>2</v>
      </c>
      <c r="E115" s="44" t="s">
        <v>38</v>
      </c>
      <c r="F115" s="44"/>
    </row>
    <row r="119" spans="1:6" ht="31.5" customHeight="1" x14ac:dyDescent="0.35">
      <c r="F119" s="45" t="s">
        <v>39</v>
      </c>
    </row>
    <row r="121" spans="1:6" ht="31.5" customHeight="1" x14ac:dyDescent="0.35">
      <c r="A121" s="36" t="s">
        <v>150</v>
      </c>
    </row>
    <row r="122" spans="1:6" ht="31.5" customHeight="1" x14ac:dyDescent="0.35">
      <c r="A122" s="35" t="s">
        <v>31</v>
      </c>
      <c r="B122" s="37" t="s">
        <v>30</v>
      </c>
    </row>
    <row r="123" spans="1:6" ht="31.5" customHeight="1" x14ac:dyDescent="0.35">
      <c r="A123" s="35" t="s">
        <v>29</v>
      </c>
      <c r="B123" s="37">
        <v>822018</v>
      </c>
    </row>
    <row r="124" spans="1:6" ht="31.5" customHeight="1" x14ac:dyDescent="0.35">
      <c r="A124" s="35" t="s">
        <v>15</v>
      </c>
      <c r="B124" s="37" t="s">
        <v>127</v>
      </c>
    </row>
    <row r="125" spans="1:6" ht="31.5" customHeight="1" x14ac:dyDescent="0.35">
      <c r="A125" s="35" t="s">
        <v>32</v>
      </c>
      <c r="B125" s="37" t="s">
        <v>129</v>
      </c>
    </row>
    <row r="126" spans="1:6" ht="31.5" customHeight="1" x14ac:dyDescent="0.35">
      <c r="A126" s="35" t="s">
        <v>33</v>
      </c>
      <c r="B126" s="37" t="s">
        <v>128</v>
      </c>
    </row>
    <row r="128" spans="1:6" ht="31.5" customHeight="1" x14ac:dyDescent="0.35">
      <c r="A128" s="39" t="s">
        <v>157</v>
      </c>
    </row>
    <row r="129" spans="1:6" ht="31.5" customHeight="1" x14ac:dyDescent="0.35">
      <c r="A129" s="40" t="s">
        <v>34</v>
      </c>
      <c r="B129" s="40" t="s">
        <v>35</v>
      </c>
      <c r="C129" s="40" t="s">
        <v>34</v>
      </c>
      <c r="D129" s="40" t="s">
        <v>35</v>
      </c>
      <c r="E129" s="40" t="s">
        <v>34</v>
      </c>
      <c r="F129" s="40" t="s">
        <v>35</v>
      </c>
    </row>
    <row r="130" spans="1:6" ht="31.5" customHeight="1" x14ac:dyDescent="0.35">
      <c r="A130" s="41">
        <v>15101849</v>
      </c>
      <c r="B130" s="41"/>
      <c r="C130" s="41">
        <v>15101855</v>
      </c>
      <c r="D130" s="41"/>
      <c r="E130" s="41">
        <v>15101861</v>
      </c>
      <c r="F130" s="41"/>
    </row>
    <row r="131" spans="1:6" ht="31.5" customHeight="1" x14ac:dyDescent="0.35">
      <c r="A131" s="41">
        <v>15101850</v>
      </c>
      <c r="B131" s="41"/>
      <c r="C131" s="41">
        <v>15101856</v>
      </c>
      <c r="D131" s="41"/>
      <c r="E131" s="41">
        <v>15101862</v>
      </c>
      <c r="F131" s="41"/>
    </row>
    <row r="132" spans="1:6" ht="31.5" customHeight="1" x14ac:dyDescent="0.35">
      <c r="A132" s="41">
        <v>15101851</v>
      </c>
      <c r="B132" s="41"/>
      <c r="C132" s="41">
        <v>15101857</v>
      </c>
      <c r="D132" s="41"/>
      <c r="E132" s="41">
        <v>15101863</v>
      </c>
      <c r="F132" s="41"/>
    </row>
    <row r="133" spans="1:6" ht="31.5" customHeight="1" x14ac:dyDescent="0.35">
      <c r="A133" s="41">
        <v>15101852</v>
      </c>
      <c r="B133" s="41"/>
      <c r="C133" s="41">
        <v>15101858</v>
      </c>
      <c r="D133" s="41"/>
      <c r="E133" s="41">
        <v>15101864</v>
      </c>
      <c r="F133" s="41"/>
    </row>
    <row r="134" spans="1:6" ht="31.5" customHeight="1" x14ac:dyDescent="0.35">
      <c r="A134" s="41">
        <v>15101853</v>
      </c>
      <c r="B134" s="41"/>
      <c r="C134" s="41">
        <v>15101859</v>
      </c>
      <c r="D134" s="41"/>
      <c r="E134" s="41">
        <v>15101865</v>
      </c>
      <c r="F134" s="41"/>
    </row>
    <row r="135" spans="1:6" ht="31.5" customHeight="1" x14ac:dyDescent="0.35">
      <c r="A135" s="41">
        <v>15101854</v>
      </c>
      <c r="B135" s="41"/>
      <c r="C135" s="41">
        <v>15101860</v>
      </c>
      <c r="D135" s="41"/>
      <c r="E135" s="41">
        <v>15101866</v>
      </c>
      <c r="F135" s="41"/>
    </row>
    <row r="137" spans="1:6" ht="31.5" customHeight="1" x14ac:dyDescent="0.45">
      <c r="A137" s="35" t="s">
        <v>151</v>
      </c>
      <c r="E137" s="42" t="s">
        <v>36</v>
      </c>
      <c r="F137" s="43">
        <v>18</v>
      </c>
    </row>
    <row r="138" spans="1:6" ht="31.5" customHeight="1" x14ac:dyDescent="0.35">
      <c r="A138" s="38">
        <v>1</v>
      </c>
      <c r="E138" s="44" t="s">
        <v>37</v>
      </c>
      <c r="F138" s="44"/>
    </row>
    <row r="139" spans="1:6" ht="31.5" customHeight="1" x14ac:dyDescent="0.35">
      <c r="A139" s="38">
        <v>2</v>
      </c>
      <c r="E139" s="44" t="s">
        <v>38</v>
      </c>
      <c r="F139" s="44"/>
    </row>
    <row r="143" spans="1:6" ht="31.5" customHeight="1" x14ac:dyDescent="0.35">
      <c r="F143" s="45" t="s">
        <v>39</v>
      </c>
    </row>
    <row r="145" spans="1:6" ht="31.5" customHeight="1" x14ac:dyDescent="0.35">
      <c r="A145" s="36" t="s">
        <v>150</v>
      </c>
    </row>
    <row r="146" spans="1:6" ht="31.5" customHeight="1" x14ac:dyDescent="0.35">
      <c r="A146" s="35" t="s">
        <v>31</v>
      </c>
      <c r="B146" s="37" t="s">
        <v>30</v>
      </c>
    </row>
    <row r="147" spans="1:6" ht="31.5" customHeight="1" x14ac:dyDescent="0.35">
      <c r="A147" s="35" t="s">
        <v>29</v>
      </c>
      <c r="B147" s="37">
        <v>822018</v>
      </c>
    </row>
    <row r="148" spans="1:6" ht="31.5" customHeight="1" x14ac:dyDescent="0.35">
      <c r="A148" s="35" t="s">
        <v>15</v>
      </c>
      <c r="B148" s="37" t="s">
        <v>127</v>
      </c>
    </row>
    <row r="149" spans="1:6" ht="31.5" customHeight="1" x14ac:dyDescent="0.35">
      <c r="A149" s="35" t="s">
        <v>32</v>
      </c>
      <c r="B149" s="37" t="s">
        <v>129</v>
      </c>
    </row>
    <row r="150" spans="1:6" ht="31.5" customHeight="1" x14ac:dyDescent="0.35">
      <c r="A150" s="35" t="s">
        <v>33</v>
      </c>
      <c r="B150" s="37" t="s">
        <v>128</v>
      </c>
    </row>
    <row r="152" spans="1:6" ht="31.5" customHeight="1" x14ac:dyDescent="0.35">
      <c r="A152" s="39" t="s">
        <v>158</v>
      </c>
    </row>
    <row r="153" spans="1:6" ht="31.5" customHeight="1" x14ac:dyDescent="0.35">
      <c r="A153" s="40" t="s">
        <v>34</v>
      </c>
      <c r="B153" s="40" t="s">
        <v>35</v>
      </c>
      <c r="C153" s="40" t="s">
        <v>34</v>
      </c>
      <c r="D153" s="40" t="s">
        <v>35</v>
      </c>
      <c r="E153" s="40" t="s">
        <v>34</v>
      </c>
      <c r="F153" s="40" t="s">
        <v>35</v>
      </c>
    </row>
    <row r="154" spans="1:6" ht="31.5" customHeight="1" x14ac:dyDescent="0.35">
      <c r="A154" s="41">
        <v>15101867</v>
      </c>
      <c r="B154" s="41"/>
      <c r="C154" s="41">
        <v>15101873</v>
      </c>
      <c r="D154" s="41"/>
      <c r="E154" s="41">
        <v>15101879</v>
      </c>
      <c r="F154" s="41"/>
    </row>
    <row r="155" spans="1:6" ht="31.5" customHeight="1" x14ac:dyDescent="0.35">
      <c r="A155" s="41">
        <v>15101868</v>
      </c>
      <c r="B155" s="41"/>
      <c r="C155" s="41">
        <v>15101874</v>
      </c>
      <c r="D155" s="41"/>
      <c r="E155" s="41">
        <v>15101880</v>
      </c>
      <c r="F155" s="41"/>
    </row>
    <row r="156" spans="1:6" ht="31.5" customHeight="1" x14ac:dyDescent="0.35">
      <c r="A156" s="41">
        <v>15101869</v>
      </c>
      <c r="B156" s="41"/>
      <c r="C156" s="41">
        <v>15101875</v>
      </c>
      <c r="D156" s="41"/>
      <c r="E156" s="41">
        <v>15101881</v>
      </c>
      <c r="F156" s="41"/>
    </row>
    <row r="157" spans="1:6" ht="31.5" customHeight="1" x14ac:dyDescent="0.35">
      <c r="A157" s="41">
        <v>15101870</v>
      </c>
      <c r="B157" s="41"/>
      <c r="C157" s="41">
        <v>15101876</v>
      </c>
      <c r="D157" s="41"/>
      <c r="E157" s="41">
        <v>15101882</v>
      </c>
      <c r="F157" s="41"/>
    </row>
    <row r="158" spans="1:6" ht="31.5" customHeight="1" x14ac:dyDescent="0.35">
      <c r="A158" s="41">
        <v>15101871</v>
      </c>
      <c r="B158" s="41"/>
      <c r="C158" s="41">
        <v>15101877</v>
      </c>
      <c r="D158" s="41"/>
      <c r="E158" s="41">
        <v>15101883</v>
      </c>
      <c r="F158" s="41"/>
    </row>
    <row r="159" spans="1:6" ht="31.5" customHeight="1" x14ac:dyDescent="0.35">
      <c r="A159" s="41">
        <v>15101872</v>
      </c>
      <c r="B159" s="41"/>
      <c r="C159" s="41">
        <v>15101878</v>
      </c>
      <c r="D159" s="41"/>
      <c r="E159" s="41">
        <v>15101884</v>
      </c>
      <c r="F159" s="41"/>
    </row>
    <row r="161" spans="1:6" ht="31.5" customHeight="1" x14ac:dyDescent="0.45">
      <c r="A161" s="35" t="s">
        <v>151</v>
      </c>
      <c r="E161" s="42" t="s">
        <v>36</v>
      </c>
      <c r="F161" s="43">
        <v>18</v>
      </c>
    </row>
    <row r="162" spans="1:6" ht="31.5" customHeight="1" x14ac:dyDescent="0.35">
      <c r="A162" s="38">
        <v>1</v>
      </c>
      <c r="E162" s="44" t="s">
        <v>37</v>
      </c>
      <c r="F162" s="44"/>
    </row>
    <row r="163" spans="1:6" ht="31.5" customHeight="1" x14ac:dyDescent="0.35">
      <c r="A163" s="38">
        <v>2</v>
      </c>
      <c r="E163" s="44" t="s">
        <v>38</v>
      </c>
      <c r="F163" s="44"/>
    </row>
    <row r="167" spans="1:6" ht="31.5" customHeight="1" x14ac:dyDescent="0.35">
      <c r="F167" s="45" t="s">
        <v>39</v>
      </c>
    </row>
    <row r="169" spans="1:6" ht="31.5" customHeight="1" x14ac:dyDescent="0.35">
      <c r="A169" s="36" t="s">
        <v>150</v>
      </c>
    </row>
    <row r="170" spans="1:6" ht="31.5" customHeight="1" x14ac:dyDescent="0.35">
      <c r="A170" s="35" t="s">
        <v>31</v>
      </c>
      <c r="B170" s="37" t="s">
        <v>30</v>
      </c>
    </row>
    <row r="171" spans="1:6" ht="31.5" customHeight="1" x14ac:dyDescent="0.35">
      <c r="A171" s="35" t="s">
        <v>29</v>
      </c>
      <c r="B171" s="37">
        <v>822018</v>
      </c>
    </row>
    <row r="172" spans="1:6" ht="31.5" customHeight="1" x14ac:dyDescent="0.35">
      <c r="A172" s="35" t="s">
        <v>15</v>
      </c>
      <c r="B172" s="37" t="s">
        <v>127</v>
      </c>
    </row>
    <row r="173" spans="1:6" ht="31.5" customHeight="1" x14ac:dyDescent="0.35">
      <c r="A173" s="35" t="s">
        <v>32</v>
      </c>
      <c r="B173" s="37" t="s">
        <v>129</v>
      </c>
    </row>
    <row r="174" spans="1:6" ht="31.5" customHeight="1" x14ac:dyDescent="0.35">
      <c r="A174" s="35" t="s">
        <v>33</v>
      </c>
      <c r="B174" s="37" t="s">
        <v>128</v>
      </c>
    </row>
    <row r="176" spans="1:6" ht="31.5" customHeight="1" x14ac:dyDescent="0.35">
      <c r="A176" s="39" t="s">
        <v>159</v>
      </c>
    </row>
    <row r="177" spans="1:6" ht="31.5" customHeight="1" x14ac:dyDescent="0.35">
      <c r="A177" s="40" t="s">
        <v>34</v>
      </c>
      <c r="B177" s="40" t="s">
        <v>35</v>
      </c>
      <c r="C177" s="40" t="s">
        <v>34</v>
      </c>
      <c r="D177" s="40" t="s">
        <v>35</v>
      </c>
      <c r="E177" s="40" t="s">
        <v>34</v>
      </c>
      <c r="F177" s="40" t="s">
        <v>35</v>
      </c>
    </row>
    <row r="178" spans="1:6" ht="31.5" customHeight="1" x14ac:dyDescent="0.35">
      <c r="A178" s="41">
        <v>15101885</v>
      </c>
      <c r="B178" s="41"/>
      <c r="C178" s="41">
        <v>15101891</v>
      </c>
      <c r="D178" s="41"/>
      <c r="E178" s="41">
        <v>15101897</v>
      </c>
      <c r="F178" s="41"/>
    </row>
    <row r="179" spans="1:6" ht="31.5" customHeight="1" x14ac:dyDescent="0.35">
      <c r="A179" s="41">
        <v>15101886</v>
      </c>
      <c r="B179" s="41"/>
      <c r="C179" s="41">
        <v>15101892</v>
      </c>
      <c r="D179" s="41"/>
      <c r="E179" s="41">
        <v>15101898</v>
      </c>
      <c r="F179" s="41"/>
    </row>
    <row r="180" spans="1:6" ht="31.5" customHeight="1" x14ac:dyDescent="0.35">
      <c r="A180" s="41">
        <v>15101887</v>
      </c>
      <c r="B180" s="41"/>
      <c r="C180" s="41">
        <v>15101893</v>
      </c>
      <c r="D180" s="41"/>
      <c r="E180" s="41">
        <v>15101899</v>
      </c>
      <c r="F180" s="41"/>
    </row>
    <row r="181" spans="1:6" ht="31.5" customHeight="1" x14ac:dyDescent="0.35">
      <c r="A181" s="41">
        <v>15101888</v>
      </c>
      <c r="B181" s="41"/>
      <c r="C181" s="41">
        <v>15101894</v>
      </c>
      <c r="D181" s="41"/>
      <c r="E181" s="41">
        <v>15101900</v>
      </c>
      <c r="F181" s="41"/>
    </row>
    <row r="182" spans="1:6" ht="31.5" customHeight="1" x14ac:dyDescent="0.35">
      <c r="A182" s="41">
        <v>15101889</v>
      </c>
      <c r="B182" s="41"/>
      <c r="C182" s="41">
        <v>15101895</v>
      </c>
      <c r="D182" s="41"/>
      <c r="E182" s="41">
        <v>15101901</v>
      </c>
      <c r="F182" s="41"/>
    </row>
    <row r="183" spans="1:6" ht="31.5" customHeight="1" x14ac:dyDescent="0.35">
      <c r="A183" s="41">
        <v>15101890</v>
      </c>
      <c r="B183" s="41"/>
      <c r="C183" s="41">
        <v>15101896</v>
      </c>
      <c r="D183" s="41"/>
      <c r="E183" s="41">
        <v>15101902</v>
      </c>
      <c r="F183" s="41"/>
    </row>
    <row r="185" spans="1:6" ht="31.5" customHeight="1" x14ac:dyDescent="0.45">
      <c r="A185" s="35" t="s">
        <v>151</v>
      </c>
      <c r="E185" s="42" t="s">
        <v>36</v>
      </c>
      <c r="F185" s="43">
        <v>18</v>
      </c>
    </row>
    <row r="186" spans="1:6" ht="31.5" customHeight="1" x14ac:dyDescent="0.35">
      <c r="A186" s="38">
        <v>1</v>
      </c>
      <c r="E186" s="44" t="s">
        <v>37</v>
      </c>
      <c r="F186" s="44"/>
    </row>
    <row r="187" spans="1:6" ht="31.5" customHeight="1" x14ac:dyDescent="0.35">
      <c r="A187" s="38">
        <v>2</v>
      </c>
      <c r="E187" s="44" t="s">
        <v>38</v>
      </c>
      <c r="F187" s="44"/>
    </row>
    <row r="191" spans="1:6" ht="31.5" customHeight="1" x14ac:dyDescent="0.35">
      <c r="F191" s="45" t="s">
        <v>39</v>
      </c>
    </row>
    <row r="193" spans="1:6" ht="31.5" customHeight="1" x14ac:dyDescent="0.35">
      <c r="A193" s="36" t="s">
        <v>150</v>
      </c>
    </row>
    <row r="194" spans="1:6" ht="31.5" customHeight="1" x14ac:dyDescent="0.35">
      <c r="A194" s="35" t="s">
        <v>31</v>
      </c>
      <c r="B194" s="37" t="s">
        <v>30</v>
      </c>
    </row>
    <row r="195" spans="1:6" ht="31.5" customHeight="1" x14ac:dyDescent="0.35">
      <c r="A195" s="35" t="s">
        <v>29</v>
      </c>
      <c r="B195" s="37">
        <v>822018</v>
      </c>
    </row>
    <row r="196" spans="1:6" ht="31.5" customHeight="1" x14ac:dyDescent="0.35">
      <c r="A196" s="35" t="s">
        <v>15</v>
      </c>
      <c r="B196" s="37" t="s">
        <v>127</v>
      </c>
    </row>
    <row r="197" spans="1:6" ht="31.5" customHeight="1" x14ac:dyDescent="0.35">
      <c r="A197" s="35" t="s">
        <v>32</v>
      </c>
      <c r="B197" s="37" t="s">
        <v>129</v>
      </c>
    </row>
    <row r="198" spans="1:6" ht="31.5" customHeight="1" x14ac:dyDescent="0.35">
      <c r="A198" s="35" t="s">
        <v>33</v>
      </c>
      <c r="B198" s="37" t="s">
        <v>128</v>
      </c>
    </row>
    <row r="200" spans="1:6" ht="31.5" customHeight="1" x14ac:dyDescent="0.35">
      <c r="A200" s="39" t="s">
        <v>160</v>
      </c>
    </row>
    <row r="201" spans="1:6" ht="31.5" customHeight="1" x14ac:dyDescent="0.35">
      <c r="A201" s="40" t="s">
        <v>34</v>
      </c>
      <c r="B201" s="40" t="s">
        <v>35</v>
      </c>
      <c r="C201" s="40" t="s">
        <v>34</v>
      </c>
      <c r="D201" s="40" t="s">
        <v>35</v>
      </c>
      <c r="E201" s="40" t="s">
        <v>34</v>
      </c>
      <c r="F201" s="40" t="s">
        <v>35</v>
      </c>
    </row>
    <row r="202" spans="1:6" ht="31.5" customHeight="1" x14ac:dyDescent="0.35">
      <c r="A202" s="41">
        <v>15101903</v>
      </c>
      <c r="B202" s="41"/>
      <c r="C202" s="41">
        <v>15101909</v>
      </c>
      <c r="D202" s="41"/>
      <c r="E202" s="41">
        <v>15101915</v>
      </c>
      <c r="F202" s="41"/>
    </row>
    <row r="203" spans="1:6" ht="31.5" customHeight="1" x14ac:dyDescent="0.35">
      <c r="A203" s="41">
        <v>15101904</v>
      </c>
      <c r="B203" s="41"/>
      <c r="C203" s="41">
        <v>15101910</v>
      </c>
      <c r="D203" s="41"/>
      <c r="E203" s="41">
        <v>15101916</v>
      </c>
      <c r="F203" s="41"/>
    </row>
    <row r="204" spans="1:6" ht="31.5" customHeight="1" x14ac:dyDescent="0.35">
      <c r="A204" s="41">
        <v>15101905</v>
      </c>
      <c r="B204" s="41"/>
      <c r="C204" s="41">
        <v>15101911</v>
      </c>
      <c r="D204" s="41"/>
      <c r="E204" s="41">
        <v>15101917</v>
      </c>
      <c r="F204" s="41"/>
    </row>
    <row r="205" spans="1:6" ht="31.5" customHeight="1" x14ac:dyDescent="0.35">
      <c r="A205" s="41">
        <v>15101906</v>
      </c>
      <c r="B205" s="41"/>
      <c r="C205" s="41">
        <v>15101912</v>
      </c>
      <c r="D205" s="41"/>
      <c r="E205" s="41">
        <v>15101918</v>
      </c>
      <c r="F205" s="41"/>
    </row>
    <row r="206" spans="1:6" ht="31.5" customHeight="1" x14ac:dyDescent="0.35">
      <c r="A206" s="41">
        <v>15101907</v>
      </c>
      <c r="B206" s="41"/>
      <c r="C206" s="41">
        <v>15101913</v>
      </c>
      <c r="D206" s="41"/>
      <c r="E206" s="41">
        <v>15101919</v>
      </c>
      <c r="F206" s="41"/>
    </row>
    <row r="207" spans="1:6" ht="31.5" customHeight="1" x14ac:dyDescent="0.35">
      <c r="A207" s="41">
        <v>15101908</v>
      </c>
      <c r="B207" s="41"/>
      <c r="C207" s="41">
        <v>15101914</v>
      </c>
      <c r="D207" s="41"/>
      <c r="E207" s="41">
        <v>15101920</v>
      </c>
      <c r="F207" s="41"/>
    </row>
    <row r="209" spans="1:6" ht="31.5" customHeight="1" x14ac:dyDescent="0.45">
      <c r="A209" s="35" t="s">
        <v>151</v>
      </c>
      <c r="E209" s="42" t="s">
        <v>36</v>
      </c>
      <c r="F209" s="43">
        <v>18</v>
      </c>
    </row>
    <row r="210" spans="1:6" ht="31.5" customHeight="1" x14ac:dyDescent="0.35">
      <c r="A210" s="38">
        <v>1</v>
      </c>
      <c r="E210" s="44" t="s">
        <v>37</v>
      </c>
      <c r="F210" s="44"/>
    </row>
    <row r="211" spans="1:6" ht="31.5" customHeight="1" x14ac:dyDescent="0.35">
      <c r="A211" s="38">
        <v>2</v>
      </c>
      <c r="E211" s="44" t="s">
        <v>38</v>
      </c>
      <c r="F211" s="44"/>
    </row>
    <row r="215" spans="1:6" ht="31.5" customHeight="1" x14ac:dyDescent="0.35">
      <c r="F215" s="45" t="s">
        <v>39</v>
      </c>
    </row>
    <row r="217" spans="1:6" ht="31.5" customHeight="1" x14ac:dyDescent="0.35">
      <c r="A217" s="36" t="s">
        <v>150</v>
      </c>
    </row>
    <row r="218" spans="1:6" ht="31.5" customHeight="1" x14ac:dyDescent="0.35">
      <c r="A218" s="35" t="s">
        <v>31</v>
      </c>
      <c r="B218" s="37" t="s">
        <v>30</v>
      </c>
    </row>
    <row r="219" spans="1:6" ht="31.5" customHeight="1" x14ac:dyDescent="0.35">
      <c r="A219" s="35" t="s">
        <v>29</v>
      </c>
      <c r="B219" s="37">
        <v>822018</v>
      </c>
    </row>
    <row r="220" spans="1:6" ht="31.5" customHeight="1" x14ac:dyDescent="0.35">
      <c r="A220" s="35" t="s">
        <v>15</v>
      </c>
      <c r="B220" s="37" t="s">
        <v>127</v>
      </c>
    </row>
    <row r="221" spans="1:6" ht="31.5" customHeight="1" x14ac:dyDescent="0.35">
      <c r="A221" s="35" t="s">
        <v>32</v>
      </c>
      <c r="B221" s="37" t="s">
        <v>129</v>
      </c>
    </row>
    <row r="222" spans="1:6" ht="31.5" customHeight="1" x14ac:dyDescent="0.35">
      <c r="A222" s="35" t="s">
        <v>33</v>
      </c>
      <c r="B222" s="37" t="s">
        <v>128</v>
      </c>
    </row>
    <row r="224" spans="1:6" ht="31.5" customHeight="1" x14ac:dyDescent="0.35">
      <c r="A224" s="39" t="s">
        <v>161</v>
      </c>
    </row>
    <row r="225" spans="1:6" ht="31.5" customHeight="1" x14ac:dyDescent="0.35">
      <c r="A225" s="40" t="s">
        <v>34</v>
      </c>
      <c r="B225" s="40" t="s">
        <v>35</v>
      </c>
      <c r="C225" s="40" t="s">
        <v>34</v>
      </c>
      <c r="D225" s="40" t="s">
        <v>35</v>
      </c>
      <c r="E225" s="40" t="s">
        <v>34</v>
      </c>
      <c r="F225" s="40" t="s">
        <v>35</v>
      </c>
    </row>
    <row r="226" spans="1:6" ht="31.5" customHeight="1" x14ac:dyDescent="0.35">
      <c r="A226" s="41">
        <v>15101921</v>
      </c>
      <c r="B226" s="41"/>
      <c r="C226" s="41">
        <v>15101927</v>
      </c>
      <c r="D226" s="41"/>
      <c r="E226" s="41">
        <v>15101933</v>
      </c>
      <c r="F226" s="41"/>
    </row>
    <row r="227" spans="1:6" ht="31.5" customHeight="1" x14ac:dyDescent="0.35">
      <c r="A227" s="41">
        <v>15101922</v>
      </c>
      <c r="B227" s="41"/>
      <c r="C227" s="41">
        <v>15101928</v>
      </c>
      <c r="D227" s="41"/>
      <c r="E227" s="41">
        <v>15101934</v>
      </c>
      <c r="F227" s="41"/>
    </row>
    <row r="228" spans="1:6" ht="31.5" customHeight="1" x14ac:dyDescent="0.35">
      <c r="A228" s="41">
        <v>15101923</v>
      </c>
      <c r="B228" s="41"/>
      <c r="C228" s="41">
        <v>15101929</v>
      </c>
      <c r="D228" s="41"/>
      <c r="E228" s="41">
        <v>15101935</v>
      </c>
      <c r="F228" s="41"/>
    </row>
    <row r="229" spans="1:6" ht="31.5" customHeight="1" x14ac:dyDescent="0.35">
      <c r="A229" s="41">
        <v>15101924</v>
      </c>
      <c r="B229" s="41"/>
      <c r="C229" s="41">
        <v>15101930</v>
      </c>
      <c r="D229" s="41"/>
      <c r="E229" s="41">
        <v>15101936</v>
      </c>
      <c r="F229" s="41"/>
    </row>
    <row r="230" spans="1:6" ht="31.5" customHeight="1" x14ac:dyDescent="0.35">
      <c r="A230" s="41">
        <v>15101925</v>
      </c>
      <c r="B230" s="41"/>
      <c r="C230" s="41">
        <v>15101931</v>
      </c>
      <c r="D230" s="41"/>
      <c r="E230" s="41">
        <v>15101937</v>
      </c>
      <c r="F230" s="41"/>
    </row>
    <row r="231" spans="1:6" ht="31.5" customHeight="1" x14ac:dyDescent="0.35">
      <c r="A231" s="41">
        <v>15101926</v>
      </c>
      <c r="B231" s="41"/>
      <c r="C231" s="41">
        <v>15101932</v>
      </c>
      <c r="D231" s="41"/>
      <c r="E231" s="41">
        <v>15101938</v>
      </c>
      <c r="F231" s="41"/>
    </row>
    <row r="233" spans="1:6" ht="31.5" customHeight="1" x14ac:dyDescent="0.45">
      <c r="A233" s="35" t="s">
        <v>151</v>
      </c>
      <c r="E233" s="42" t="s">
        <v>36</v>
      </c>
      <c r="F233" s="43">
        <v>18</v>
      </c>
    </row>
    <row r="234" spans="1:6" ht="31.5" customHeight="1" x14ac:dyDescent="0.35">
      <c r="A234" s="38">
        <v>1</v>
      </c>
      <c r="E234" s="44" t="s">
        <v>37</v>
      </c>
      <c r="F234" s="44"/>
    </row>
    <row r="235" spans="1:6" ht="31.5" customHeight="1" x14ac:dyDescent="0.35">
      <c r="A235" s="38">
        <v>2</v>
      </c>
      <c r="E235" s="44" t="s">
        <v>38</v>
      </c>
      <c r="F235" s="44"/>
    </row>
    <row r="239" spans="1:6" ht="31.5" customHeight="1" x14ac:dyDescent="0.35">
      <c r="F239" s="45" t="s">
        <v>39</v>
      </c>
    </row>
    <row r="241" spans="1:6" ht="31.5" customHeight="1" x14ac:dyDescent="0.35">
      <c r="A241" s="36" t="s">
        <v>150</v>
      </c>
    </row>
    <row r="242" spans="1:6" ht="31.5" customHeight="1" x14ac:dyDescent="0.35">
      <c r="A242" s="35" t="s">
        <v>31</v>
      </c>
      <c r="B242" s="37" t="s">
        <v>30</v>
      </c>
    </row>
    <row r="243" spans="1:6" ht="31.5" customHeight="1" x14ac:dyDescent="0.35">
      <c r="A243" s="35" t="s">
        <v>29</v>
      </c>
      <c r="B243" s="37">
        <v>822018</v>
      </c>
    </row>
    <row r="244" spans="1:6" ht="31.5" customHeight="1" x14ac:dyDescent="0.35">
      <c r="A244" s="35" t="s">
        <v>15</v>
      </c>
      <c r="B244" s="37" t="s">
        <v>127</v>
      </c>
    </row>
    <row r="245" spans="1:6" ht="31.5" customHeight="1" x14ac:dyDescent="0.35">
      <c r="A245" s="35" t="s">
        <v>32</v>
      </c>
      <c r="B245" s="37" t="s">
        <v>129</v>
      </c>
    </row>
    <row r="246" spans="1:6" ht="31.5" customHeight="1" x14ac:dyDescent="0.35">
      <c r="A246" s="35" t="s">
        <v>33</v>
      </c>
      <c r="B246" s="37" t="s">
        <v>128</v>
      </c>
    </row>
    <row r="248" spans="1:6" ht="31.5" customHeight="1" x14ac:dyDescent="0.35">
      <c r="A248" s="39" t="s">
        <v>162</v>
      </c>
    </row>
    <row r="249" spans="1:6" ht="31.5" customHeight="1" x14ac:dyDescent="0.35">
      <c r="A249" s="40" t="s">
        <v>34</v>
      </c>
      <c r="B249" s="40" t="s">
        <v>35</v>
      </c>
      <c r="C249" s="40" t="s">
        <v>34</v>
      </c>
      <c r="D249" s="40" t="s">
        <v>35</v>
      </c>
      <c r="E249" s="40" t="s">
        <v>34</v>
      </c>
      <c r="F249" s="40" t="s">
        <v>35</v>
      </c>
    </row>
    <row r="250" spans="1:6" ht="31.5" customHeight="1" x14ac:dyDescent="0.35">
      <c r="A250" s="41">
        <v>15101939</v>
      </c>
      <c r="B250" s="41"/>
      <c r="C250" s="41">
        <v>15101945</v>
      </c>
      <c r="D250" s="41"/>
      <c r="E250" s="41">
        <v>15101951</v>
      </c>
      <c r="F250" s="41"/>
    </row>
    <row r="251" spans="1:6" ht="31.5" customHeight="1" x14ac:dyDescent="0.35">
      <c r="A251" s="41">
        <v>15101940</v>
      </c>
      <c r="B251" s="41"/>
      <c r="C251" s="41">
        <v>15101946</v>
      </c>
      <c r="D251" s="41"/>
      <c r="E251" s="41">
        <v>15101952</v>
      </c>
      <c r="F251" s="41"/>
    </row>
    <row r="252" spans="1:6" ht="31.5" customHeight="1" x14ac:dyDescent="0.35">
      <c r="A252" s="41">
        <v>15101941</v>
      </c>
      <c r="B252" s="41"/>
      <c r="C252" s="41">
        <v>15101947</v>
      </c>
      <c r="D252" s="41"/>
      <c r="E252" s="41">
        <v>15101953</v>
      </c>
      <c r="F252" s="41"/>
    </row>
    <row r="253" spans="1:6" ht="31.5" customHeight="1" x14ac:dyDescent="0.35">
      <c r="A253" s="41">
        <v>15101942</v>
      </c>
      <c r="B253" s="41"/>
      <c r="C253" s="41">
        <v>15101948</v>
      </c>
      <c r="D253" s="41"/>
      <c r="E253" s="41">
        <v>15101954</v>
      </c>
      <c r="F253" s="41"/>
    </row>
    <row r="254" spans="1:6" ht="31.5" customHeight="1" x14ac:dyDescent="0.35">
      <c r="A254" s="41">
        <v>15101943</v>
      </c>
      <c r="B254" s="41"/>
      <c r="C254" s="41">
        <v>15101949</v>
      </c>
      <c r="D254" s="41"/>
      <c r="E254" s="41">
        <v>15101955</v>
      </c>
      <c r="F254" s="41"/>
    </row>
    <row r="255" spans="1:6" ht="31.5" customHeight="1" x14ac:dyDescent="0.35">
      <c r="A255" s="41">
        <v>15101944</v>
      </c>
      <c r="B255" s="41"/>
      <c r="C255" s="41">
        <v>15101950</v>
      </c>
      <c r="D255" s="41"/>
      <c r="E255" s="41">
        <v>15101956</v>
      </c>
      <c r="F255" s="41"/>
    </row>
    <row r="257" spans="1:6" ht="31.5" customHeight="1" x14ac:dyDescent="0.45">
      <c r="A257" s="35" t="s">
        <v>151</v>
      </c>
      <c r="E257" s="42" t="s">
        <v>36</v>
      </c>
      <c r="F257" s="43">
        <v>18</v>
      </c>
    </row>
    <row r="258" spans="1:6" ht="31.5" customHeight="1" x14ac:dyDescent="0.35">
      <c r="A258" s="38">
        <v>1</v>
      </c>
      <c r="E258" s="44" t="s">
        <v>37</v>
      </c>
      <c r="F258" s="44"/>
    </row>
    <row r="259" spans="1:6" ht="31.5" customHeight="1" x14ac:dyDescent="0.35">
      <c r="A259" s="38">
        <v>2</v>
      </c>
      <c r="E259" s="44" t="s">
        <v>38</v>
      </c>
      <c r="F259" s="44"/>
    </row>
    <row r="263" spans="1:6" ht="31.5" customHeight="1" x14ac:dyDescent="0.35">
      <c r="F263" s="45" t="s">
        <v>39</v>
      </c>
    </row>
    <row r="265" spans="1:6" ht="31.5" customHeight="1" x14ac:dyDescent="0.35">
      <c r="A265" s="36" t="s">
        <v>150</v>
      </c>
    </row>
    <row r="266" spans="1:6" ht="31.5" customHeight="1" x14ac:dyDescent="0.35">
      <c r="A266" s="35" t="s">
        <v>31</v>
      </c>
      <c r="B266" s="37" t="s">
        <v>30</v>
      </c>
    </row>
    <row r="267" spans="1:6" ht="31.5" customHeight="1" x14ac:dyDescent="0.35">
      <c r="A267" s="35" t="s">
        <v>29</v>
      </c>
      <c r="B267" s="37">
        <v>822018</v>
      </c>
    </row>
    <row r="268" spans="1:6" ht="31.5" customHeight="1" x14ac:dyDescent="0.35">
      <c r="A268" s="35" t="s">
        <v>15</v>
      </c>
      <c r="B268" s="37" t="s">
        <v>127</v>
      </c>
    </row>
    <row r="269" spans="1:6" ht="31.5" customHeight="1" x14ac:dyDescent="0.35">
      <c r="A269" s="35" t="s">
        <v>32</v>
      </c>
      <c r="B269" s="37" t="s">
        <v>129</v>
      </c>
    </row>
    <row r="270" spans="1:6" ht="31.5" customHeight="1" x14ac:dyDescent="0.35">
      <c r="A270" s="35" t="s">
        <v>33</v>
      </c>
      <c r="B270" s="37" t="s">
        <v>128</v>
      </c>
    </row>
    <row r="272" spans="1:6" ht="31.5" customHeight="1" x14ac:dyDescent="0.35">
      <c r="A272" s="39" t="s">
        <v>163</v>
      </c>
    </row>
    <row r="273" spans="1:6" ht="31.5" customHeight="1" x14ac:dyDescent="0.35">
      <c r="A273" s="40" t="s">
        <v>34</v>
      </c>
      <c r="B273" s="40" t="s">
        <v>35</v>
      </c>
      <c r="C273" s="40" t="s">
        <v>34</v>
      </c>
      <c r="D273" s="40" t="s">
        <v>35</v>
      </c>
      <c r="E273" s="40" t="s">
        <v>34</v>
      </c>
      <c r="F273" s="40" t="s">
        <v>35</v>
      </c>
    </row>
    <row r="274" spans="1:6" ht="31.5" customHeight="1" x14ac:dyDescent="0.35">
      <c r="A274" s="41">
        <v>15101957</v>
      </c>
      <c r="B274" s="41"/>
      <c r="C274" s="41">
        <v>15101963</v>
      </c>
      <c r="D274" s="41"/>
      <c r="E274" s="41">
        <v>15101969</v>
      </c>
      <c r="F274" s="41"/>
    </row>
    <row r="275" spans="1:6" ht="31.5" customHeight="1" x14ac:dyDescent="0.35">
      <c r="A275" s="41">
        <v>15101958</v>
      </c>
      <c r="B275" s="41"/>
      <c r="C275" s="41">
        <v>15101964</v>
      </c>
      <c r="D275" s="41"/>
      <c r="E275" s="41">
        <v>15101970</v>
      </c>
      <c r="F275" s="41"/>
    </row>
    <row r="276" spans="1:6" ht="31.5" customHeight="1" x14ac:dyDescent="0.35">
      <c r="A276" s="41">
        <v>15101959</v>
      </c>
      <c r="B276" s="41"/>
      <c r="C276" s="41">
        <v>15101965</v>
      </c>
      <c r="D276" s="41"/>
      <c r="E276" s="41">
        <v>15101971</v>
      </c>
      <c r="F276" s="41"/>
    </row>
    <row r="277" spans="1:6" ht="31.5" customHeight="1" x14ac:dyDescent="0.35">
      <c r="A277" s="41">
        <v>15101960</v>
      </c>
      <c r="B277" s="41"/>
      <c r="C277" s="41">
        <v>15101966</v>
      </c>
      <c r="D277" s="41"/>
      <c r="E277" s="41">
        <v>15101972</v>
      </c>
      <c r="F277" s="41"/>
    </row>
    <row r="278" spans="1:6" ht="31.5" customHeight="1" x14ac:dyDescent="0.35">
      <c r="A278" s="41">
        <v>15101961</v>
      </c>
      <c r="B278" s="41"/>
      <c r="C278" s="41">
        <v>15101967</v>
      </c>
      <c r="D278" s="41"/>
      <c r="E278" s="41">
        <v>15101973</v>
      </c>
      <c r="F278" s="41"/>
    </row>
    <row r="279" spans="1:6" ht="31.5" customHeight="1" x14ac:dyDescent="0.35">
      <c r="A279" s="41">
        <v>15101962</v>
      </c>
      <c r="B279" s="41"/>
      <c r="C279" s="41">
        <v>15101968</v>
      </c>
      <c r="D279" s="41"/>
      <c r="E279" s="41">
        <v>15101974</v>
      </c>
      <c r="F279" s="41"/>
    </row>
    <row r="281" spans="1:6" ht="31.5" customHeight="1" x14ac:dyDescent="0.45">
      <c r="A281" s="35" t="s">
        <v>151</v>
      </c>
      <c r="E281" s="42" t="s">
        <v>36</v>
      </c>
      <c r="F281" s="43">
        <v>18</v>
      </c>
    </row>
    <row r="282" spans="1:6" ht="31.5" customHeight="1" x14ac:dyDescent="0.35">
      <c r="A282" s="38">
        <v>1</v>
      </c>
      <c r="E282" s="44" t="s">
        <v>37</v>
      </c>
      <c r="F282" s="44"/>
    </row>
    <row r="283" spans="1:6" ht="31.5" customHeight="1" x14ac:dyDescent="0.35">
      <c r="A283" s="38">
        <v>2</v>
      </c>
      <c r="E283" s="44" t="s">
        <v>38</v>
      </c>
      <c r="F283" s="44"/>
    </row>
    <row r="287" spans="1:6" ht="31.5" customHeight="1" x14ac:dyDescent="0.35">
      <c r="F287" s="45" t="s">
        <v>39</v>
      </c>
    </row>
    <row r="289" spans="1:6" ht="31.5" customHeight="1" x14ac:dyDescent="0.35">
      <c r="A289" s="36" t="s">
        <v>150</v>
      </c>
    </row>
    <row r="290" spans="1:6" ht="31.5" customHeight="1" x14ac:dyDescent="0.35">
      <c r="A290" s="35" t="s">
        <v>31</v>
      </c>
      <c r="B290" s="37" t="s">
        <v>30</v>
      </c>
    </row>
    <row r="291" spans="1:6" ht="31.5" customHeight="1" x14ac:dyDescent="0.35">
      <c r="A291" s="35" t="s">
        <v>29</v>
      </c>
      <c r="B291" s="37">
        <v>822018</v>
      </c>
    </row>
    <row r="292" spans="1:6" ht="31.5" customHeight="1" x14ac:dyDescent="0.35">
      <c r="A292" s="35" t="s">
        <v>15</v>
      </c>
      <c r="B292" s="37" t="s">
        <v>127</v>
      </c>
    </row>
    <row r="293" spans="1:6" ht="31.5" customHeight="1" x14ac:dyDescent="0.35">
      <c r="A293" s="35" t="s">
        <v>32</v>
      </c>
      <c r="B293" s="37" t="s">
        <v>129</v>
      </c>
    </row>
    <row r="294" spans="1:6" ht="31.5" customHeight="1" x14ac:dyDescent="0.35">
      <c r="A294" s="35" t="s">
        <v>33</v>
      </c>
      <c r="B294" s="37" t="s">
        <v>128</v>
      </c>
    </row>
    <row r="296" spans="1:6" ht="31.5" customHeight="1" x14ac:dyDescent="0.35">
      <c r="A296" s="39" t="s">
        <v>164</v>
      </c>
    </row>
    <row r="297" spans="1:6" ht="31.5" customHeight="1" x14ac:dyDescent="0.35">
      <c r="A297" s="40" t="s">
        <v>34</v>
      </c>
      <c r="B297" s="40" t="s">
        <v>35</v>
      </c>
      <c r="C297" s="40" t="s">
        <v>34</v>
      </c>
      <c r="D297" s="40" t="s">
        <v>35</v>
      </c>
      <c r="E297" s="40" t="s">
        <v>34</v>
      </c>
      <c r="F297" s="40" t="s">
        <v>35</v>
      </c>
    </row>
    <row r="298" spans="1:6" ht="31.5" customHeight="1" x14ac:dyDescent="0.35">
      <c r="A298" s="41">
        <v>15101975</v>
      </c>
      <c r="B298" s="41"/>
      <c r="C298" s="41">
        <v>15101981</v>
      </c>
      <c r="D298" s="41"/>
      <c r="E298" s="41">
        <v>15101987</v>
      </c>
      <c r="F298" s="41"/>
    </row>
    <row r="299" spans="1:6" ht="31.5" customHeight="1" x14ac:dyDescent="0.35">
      <c r="A299" s="41">
        <v>15101976</v>
      </c>
      <c r="B299" s="41"/>
      <c r="C299" s="41">
        <v>15101982</v>
      </c>
      <c r="D299" s="41"/>
      <c r="E299" s="41">
        <v>15101988</v>
      </c>
      <c r="F299" s="41"/>
    </row>
    <row r="300" spans="1:6" ht="31.5" customHeight="1" x14ac:dyDescent="0.35">
      <c r="A300" s="41">
        <v>15101977</v>
      </c>
      <c r="B300" s="41"/>
      <c r="C300" s="41">
        <v>15101983</v>
      </c>
      <c r="D300" s="41"/>
      <c r="E300" s="41">
        <v>15101989</v>
      </c>
      <c r="F300" s="41"/>
    </row>
    <row r="301" spans="1:6" ht="31.5" customHeight="1" x14ac:dyDescent="0.35">
      <c r="A301" s="41">
        <v>15101978</v>
      </c>
      <c r="B301" s="41"/>
      <c r="C301" s="41">
        <v>15101984</v>
      </c>
      <c r="D301" s="41"/>
      <c r="E301" s="41">
        <v>15101990</v>
      </c>
      <c r="F301" s="41"/>
    </row>
    <row r="302" spans="1:6" ht="31.5" customHeight="1" x14ac:dyDescent="0.35">
      <c r="A302" s="41">
        <v>15101979</v>
      </c>
      <c r="B302" s="41"/>
      <c r="C302" s="41">
        <v>15101985</v>
      </c>
      <c r="D302" s="41"/>
      <c r="E302" s="41">
        <v>15101991</v>
      </c>
      <c r="F302" s="41"/>
    </row>
    <row r="303" spans="1:6" ht="31.5" customHeight="1" x14ac:dyDescent="0.35">
      <c r="A303" s="41">
        <v>15101980</v>
      </c>
      <c r="B303" s="41"/>
      <c r="C303" s="41">
        <v>15101986</v>
      </c>
      <c r="D303" s="41"/>
      <c r="E303" s="41">
        <v>15101992</v>
      </c>
      <c r="F303" s="41"/>
    </row>
    <row r="305" spans="1:6" ht="31.5" customHeight="1" x14ac:dyDescent="0.45">
      <c r="A305" s="35" t="s">
        <v>151</v>
      </c>
      <c r="E305" s="42" t="s">
        <v>36</v>
      </c>
      <c r="F305" s="43">
        <v>18</v>
      </c>
    </row>
    <row r="306" spans="1:6" ht="31.5" customHeight="1" x14ac:dyDescent="0.35">
      <c r="A306" s="38">
        <v>1</v>
      </c>
      <c r="E306" s="44" t="s">
        <v>37</v>
      </c>
      <c r="F306" s="44"/>
    </row>
    <row r="307" spans="1:6" ht="31.5" customHeight="1" x14ac:dyDescent="0.35">
      <c r="A307" s="38">
        <v>2</v>
      </c>
      <c r="E307" s="44" t="s">
        <v>38</v>
      </c>
      <c r="F307" s="44"/>
    </row>
    <row r="311" spans="1:6" ht="31.5" customHeight="1" x14ac:dyDescent="0.35">
      <c r="F311" s="45" t="s">
        <v>39</v>
      </c>
    </row>
    <row r="313" spans="1:6" ht="31.5" customHeight="1" x14ac:dyDescent="0.35">
      <c r="A313" s="36" t="s">
        <v>150</v>
      </c>
    </row>
    <row r="314" spans="1:6" ht="31.5" customHeight="1" x14ac:dyDescent="0.35">
      <c r="A314" s="35" t="s">
        <v>31</v>
      </c>
      <c r="B314" s="37" t="s">
        <v>30</v>
      </c>
    </row>
    <row r="315" spans="1:6" ht="31.5" customHeight="1" x14ac:dyDescent="0.35">
      <c r="A315" s="35" t="s">
        <v>29</v>
      </c>
      <c r="B315" s="37">
        <v>822018</v>
      </c>
    </row>
    <row r="316" spans="1:6" ht="31.5" customHeight="1" x14ac:dyDescent="0.35">
      <c r="A316" s="35" t="s">
        <v>15</v>
      </c>
      <c r="B316" s="37" t="s">
        <v>127</v>
      </c>
    </row>
    <row r="317" spans="1:6" ht="31.5" customHeight="1" x14ac:dyDescent="0.35">
      <c r="A317" s="35" t="s">
        <v>32</v>
      </c>
      <c r="B317" s="37" t="s">
        <v>129</v>
      </c>
    </row>
    <row r="318" spans="1:6" ht="31.5" customHeight="1" x14ac:dyDescent="0.35">
      <c r="A318" s="35" t="s">
        <v>33</v>
      </c>
      <c r="B318" s="37" t="s">
        <v>128</v>
      </c>
    </row>
    <row r="320" spans="1:6" ht="31.5" customHeight="1" x14ac:dyDescent="0.35">
      <c r="A320" s="39" t="s">
        <v>165</v>
      </c>
    </row>
    <row r="321" spans="1:6" ht="31.5" customHeight="1" x14ac:dyDescent="0.35">
      <c r="A321" s="40" t="s">
        <v>34</v>
      </c>
      <c r="B321" s="40" t="s">
        <v>35</v>
      </c>
      <c r="C321" s="40" t="s">
        <v>34</v>
      </c>
      <c r="D321" s="40" t="s">
        <v>35</v>
      </c>
      <c r="E321" s="40" t="s">
        <v>34</v>
      </c>
      <c r="F321" s="40" t="s">
        <v>35</v>
      </c>
    </row>
    <row r="322" spans="1:6" ht="31.5" customHeight="1" x14ac:dyDescent="0.35">
      <c r="A322" s="41">
        <v>15101993</v>
      </c>
      <c r="B322" s="41"/>
      <c r="C322" s="41">
        <v>15101999</v>
      </c>
      <c r="D322" s="41"/>
      <c r="E322" s="41">
        <v>15102006</v>
      </c>
      <c r="F322" s="41"/>
    </row>
    <row r="323" spans="1:6" ht="31.5" customHeight="1" x14ac:dyDescent="0.35">
      <c r="A323" s="41">
        <v>15101994</v>
      </c>
      <c r="B323" s="41"/>
      <c r="C323" s="41">
        <v>15102001</v>
      </c>
      <c r="D323" s="41"/>
      <c r="E323" s="41">
        <v>15102007</v>
      </c>
      <c r="F323" s="41"/>
    </row>
    <row r="324" spans="1:6" ht="31.5" customHeight="1" x14ac:dyDescent="0.35">
      <c r="A324" s="41">
        <v>15101995</v>
      </c>
      <c r="B324" s="41"/>
      <c r="C324" s="41">
        <v>15102002</v>
      </c>
      <c r="D324" s="41"/>
      <c r="E324" s="41">
        <v>15102008</v>
      </c>
      <c r="F324" s="41"/>
    </row>
    <row r="325" spans="1:6" ht="31.5" customHeight="1" x14ac:dyDescent="0.35">
      <c r="A325" s="41">
        <v>15101996</v>
      </c>
      <c r="B325" s="41"/>
      <c r="C325" s="41">
        <v>15102003</v>
      </c>
      <c r="D325" s="41"/>
      <c r="E325" s="41">
        <v>15102009</v>
      </c>
      <c r="F325" s="41"/>
    </row>
    <row r="326" spans="1:6" ht="31.5" customHeight="1" x14ac:dyDescent="0.35">
      <c r="A326" s="41">
        <v>15101997</v>
      </c>
      <c r="B326" s="41"/>
      <c r="C326" s="41">
        <v>15102004</v>
      </c>
      <c r="D326" s="41"/>
      <c r="E326" s="41">
        <v>15102010</v>
      </c>
      <c r="F326" s="41"/>
    </row>
    <row r="327" spans="1:6" ht="31.5" customHeight="1" x14ac:dyDescent="0.35">
      <c r="A327" s="41">
        <v>15101998</v>
      </c>
      <c r="B327" s="41"/>
      <c r="C327" s="41">
        <v>15102005</v>
      </c>
      <c r="D327" s="41"/>
      <c r="E327" s="41">
        <v>15102011</v>
      </c>
      <c r="F327" s="41"/>
    </row>
    <row r="329" spans="1:6" ht="31.5" customHeight="1" x14ac:dyDescent="0.45">
      <c r="A329" s="35" t="s">
        <v>151</v>
      </c>
      <c r="E329" s="42" t="s">
        <v>36</v>
      </c>
      <c r="F329" s="43">
        <v>18</v>
      </c>
    </row>
    <row r="330" spans="1:6" ht="31.5" customHeight="1" x14ac:dyDescent="0.35">
      <c r="A330" s="38">
        <v>1</v>
      </c>
      <c r="E330" s="44" t="s">
        <v>37</v>
      </c>
      <c r="F330" s="44"/>
    </row>
    <row r="331" spans="1:6" ht="31.5" customHeight="1" x14ac:dyDescent="0.35">
      <c r="A331" s="38">
        <v>2</v>
      </c>
      <c r="E331" s="44" t="s">
        <v>38</v>
      </c>
      <c r="F331" s="44"/>
    </row>
    <row r="335" spans="1:6" ht="31.5" customHeight="1" x14ac:dyDescent="0.35">
      <c r="F335" s="45" t="s">
        <v>39</v>
      </c>
    </row>
    <row r="337" spans="1:6" ht="31.5" customHeight="1" x14ac:dyDescent="0.35">
      <c r="A337" s="36" t="s">
        <v>150</v>
      </c>
    </row>
    <row r="338" spans="1:6" ht="31.5" customHeight="1" x14ac:dyDescent="0.35">
      <c r="A338" s="35" t="s">
        <v>31</v>
      </c>
      <c r="B338" s="37" t="s">
        <v>30</v>
      </c>
    </row>
    <row r="339" spans="1:6" ht="31.5" customHeight="1" x14ac:dyDescent="0.35">
      <c r="A339" s="35" t="s">
        <v>29</v>
      </c>
      <c r="B339" s="37">
        <v>822018</v>
      </c>
    </row>
    <row r="340" spans="1:6" ht="31.5" customHeight="1" x14ac:dyDescent="0.35">
      <c r="A340" s="35" t="s">
        <v>15</v>
      </c>
      <c r="B340" s="37" t="s">
        <v>127</v>
      </c>
    </row>
    <row r="341" spans="1:6" ht="31.5" customHeight="1" x14ac:dyDescent="0.35">
      <c r="A341" s="35" t="s">
        <v>32</v>
      </c>
      <c r="B341" s="37" t="s">
        <v>129</v>
      </c>
    </row>
    <row r="342" spans="1:6" ht="31.5" customHeight="1" x14ac:dyDescent="0.35">
      <c r="A342" s="35" t="s">
        <v>33</v>
      </c>
      <c r="B342" s="37" t="s">
        <v>128</v>
      </c>
    </row>
    <row r="344" spans="1:6" ht="31.5" customHeight="1" x14ac:dyDescent="0.35">
      <c r="A344" s="39" t="s">
        <v>166</v>
      </c>
    </row>
    <row r="345" spans="1:6" ht="31.5" customHeight="1" x14ac:dyDescent="0.35">
      <c r="A345" s="40" t="s">
        <v>34</v>
      </c>
      <c r="B345" s="40" t="s">
        <v>35</v>
      </c>
      <c r="C345" s="40" t="s">
        <v>34</v>
      </c>
      <c r="D345" s="40" t="s">
        <v>35</v>
      </c>
      <c r="E345" s="40" t="s">
        <v>34</v>
      </c>
      <c r="F345" s="40" t="s">
        <v>35</v>
      </c>
    </row>
    <row r="346" spans="1:6" ht="31.5" customHeight="1" x14ac:dyDescent="0.35">
      <c r="A346" s="41">
        <v>15102012</v>
      </c>
      <c r="B346" s="41"/>
      <c r="C346" s="41">
        <v>15102018</v>
      </c>
      <c r="D346" s="41"/>
      <c r="E346" s="41">
        <v>15102024</v>
      </c>
      <c r="F346" s="41"/>
    </row>
    <row r="347" spans="1:6" ht="31.5" customHeight="1" x14ac:dyDescent="0.35">
      <c r="A347" s="41">
        <v>15102013</v>
      </c>
      <c r="B347" s="41"/>
      <c r="C347" s="41">
        <v>15102019</v>
      </c>
      <c r="D347" s="41"/>
      <c r="E347" s="41">
        <v>15102025</v>
      </c>
      <c r="F347" s="41"/>
    </row>
    <row r="348" spans="1:6" ht="31.5" customHeight="1" x14ac:dyDescent="0.35">
      <c r="A348" s="41">
        <v>15102014</v>
      </c>
      <c r="B348" s="41"/>
      <c r="C348" s="41">
        <v>15102020</v>
      </c>
      <c r="D348" s="41"/>
      <c r="E348" s="41">
        <v>15102026</v>
      </c>
      <c r="F348" s="41"/>
    </row>
    <row r="349" spans="1:6" ht="31.5" customHeight="1" x14ac:dyDescent="0.35">
      <c r="A349" s="41">
        <v>15102015</v>
      </c>
      <c r="B349" s="41"/>
      <c r="C349" s="41">
        <v>15102021</v>
      </c>
      <c r="D349" s="41"/>
      <c r="E349" s="41">
        <v>15102113</v>
      </c>
      <c r="F349" s="41"/>
    </row>
    <row r="350" spans="1:6" ht="31.5" customHeight="1" x14ac:dyDescent="0.35">
      <c r="A350" s="41">
        <v>15102016</v>
      </c>
      <c r="B350" s="41"/>
      <c r="C350" s="41">
        <v>15102022</v>
      </c>
      <c r="D350" s="41"/>
      <c r="E350" s="41">
        <v>15102114</v>
      </c>
      <c r="F350" s="41"/>
    </row>
    <row r="351" spans="1:6" ht="31.5" customHeight="1" x14ac:dyDescent="0.35">
      <c r="A351" s="41">
        <v>15102017</v>
      </c>
      <c r="B351" s="41"/>
      <c r="C351" s="41">
        <v>15102023</v>
      </c>
      <c r="D351" s="41"/>
      <c r="E351" s="41">
        <v>15102115</v>
      </c>
      <c r="F351" s="41"/>
    </row>
    <row r="353" spans="1:6" ht="31.5" customHeight="1" x14ac:dyDescent="0.45">
      <c r="A353" s="35" t="s">
        <v>151</v>
      </c>
      <c r="E353" s="42" t="s">
        <v>36</v>
      </c>
      <c r="F353" s="43">
        <v>18</v>
      </c>
    </row>
    <row r="354" spans="1:6" ht="31.5" customHeight="1" x14ac:dyDescent="0.35">
      <c r="A354" s="38">
        <v>1</v>
      </c>
      <c r="E354" s="44" t="s">
        <v>37</v>
      </c>
      <c r="F354" s="44"/>
    </row>
    <row r="355" spans="1:6" ht="31.5" customHeight="1" x14ac:dyDescent="0.35">
      <c r="A355" s="38">
        <v>2</v>
      </c>
      <c r="E355" s="44" t="s">
        <v>38</v>
      </c>
      <c r="F355" s="44"/>
    </row>
    <row r="359" spans="1:6" ht="31.5" customHeight="1" x14ac:dyDescent="0.35">
      <c r="F359" s="45" t="s">
        <v>39</v>
      </c>
    </row>
    <row r="361" spans="1:6" ht="31.5" customHeight="1" x14ac:dyDescent="0.35">
      <c r="A361" s="36" t="s">
        <v>150</v>
      </c>
    </row>
    <row r="362" spans="1:6" ht="31.5" customHeight="1" x14ac:dyDescent="0.35">
      <c r="A362" s="35" t="s">
        <v>31</v>
      </c>
      <c r="B362" s="37" t="s">
        <v>30</v>
      </c>
    </row>
    <row r="363" spans="1:6" ht="31.5" customHeight="1" x14ac:dyDescent="0.35">
      <c r="A363" s="35" t="s">
        <v>29</v>
      </c>
      <c r="B363" s="37">
        <v>822018</v>
      </c>
    </row>
    <row r="364" spans="1:6" ht="31.5" customHeight="1" x14ac:dyDescent="0.35">
      <c r="A364" s="35" t="s">
        <v>15</v>
      </c>
      <c r="B364" s="37" t="s">
        <v>127</v>
      </c>
    </row>
    <row r="365" spans="1:6" ht="31.5" customHeight="1" x14ac:dyDescent="0.35">
      <c r="A365" s="35" t="s">
        <v>32</v>
      </c>
      <c r="B365" s="37" t="s">
        <v>129</v>
      </c>
    </row>
    <row r="366" spans="1:6" ht="31.5" customHeight="1" x14ac:dyDescent="0.35">
      <c r="A366" s="35" t="s">
        <v>33</v>
      </c>
      <c r="B366" s="37" t="s">
        <v>128</v>
      </c>
    </row>
    <row r="368" spans="1:6" ht="31.5" customHeight="1" x14ac:dyDescent="0.35">
      <c r="A368" s="39" t="s">
        <v>167</v>
      </c>
    </row>
    <row r="369" spans="1:6" ht="31.5" customHeight="1" x14ac:dyDescent="0.35">
      <c r="A369" s="40" t="s">
        <v>34</v>
      </c>
      <c r="B369" s="40" t="s">
        <v>35</v>
      </c>
      <c r="C369" s="40" t="s">
        <v>34</v>
      </c>
      <c r="D369" s="40" t="s">
        <v>35</v>
      </c>
      <c r="E369" s="40" t="s">
        <v>34</v>
      </c>
      <c r="F369" s="40" t="s">
        <v>35</v>
      </c>
    </row>
    <row r="370" spans="1:6" ht="31.5" customHeight="1" x14ac:dyDescent="0.35">
      <c r="A370" s="41">
        <v>15102116</v>
      </c>
      <c r="B370" s="41"/>
      <c r="C370" s="41">
        <v>15102122</v>
      </c>
      <c r="D370" s="41"/>
      <c r="E370" s="41">
        <v>15102128</v>
      </c>
      <c r="F370" s="41"/>
    </row>
    <row r="371" spans="1:6" ht="31.5" customHeight="1" x14ac:dyDescent="0.35">
      <c r="A371" s="41">
        <v>15102117</v>
      </c>
      <c r="B371" s="41"/>
      <c r="C371" s="41">
        <v>15102123</v>
      </c>
      <c r="D371" s="41"/>
      <c r="E371" s="41">
        <v>15102129</v>
      </c>
      <c r="F371" s="41"/>
    </row>
    <row r="372" spans="1:6" ht="31.5" customHeight="1" x14ac:dyDescent="0.35">
      <c r="A372" s="41">
        <v>15102118</v>
      </c>
      <c r="B372" s="41"/>
      <c r="C372" s="41">
        <v>15102124</v>
      </c>
      <c r="D372" s="41"/>
      <c r="E372" s="41">
        <v>15102335</v>
      </c>
      <c r="F372" s="41"/>
    </row>
    <row r="373" spans="1:6" ht="31.5" customHeight="1" x14ac:dyDescent="0.35">
      <c r="A373" s="41">
        <v>15102119</v>
      </c>
      <c r="B373" s="41"/>
      <c r="C373" s="41">
        <v>15102125</v>
      </c>
      <c r="D373" s="41"/>
      <c r="E373" s="41">
        <v>15102336</v>
      </c>
      <c r="F373" s="41"/>
    </row>
    <row r="374" spans="1:6" ht="31.5" customHeight="1" x14ac:dyDescent="0.35">
      <c r="A374" s="41">
        <v>15102120</v>
      </c>
      <c r="B374" s="41"/>
      <c r="C374" s="41">
        <v>15102126</v>
      </c>
      <c r="D374" s="41"/>
      <c r="E374" s="41">
        <v>15102338</v>
      </c>
      <c r="F374" s="41"/>
    </row>
    <row r="375" spans="1:6" ht="31.5" customHeight="1" x14ac:dyDescent="0.35">
      <c r="A375" s="41">
        <v>15102121</v>
      </c>
      <c r="B375" s="41"/>
      <c r="C375" s="41">
        <v>15102127</v>
      </c>
      <c r="D375" s="41"/>
      <c r="E375" s="41">
        <v>15102339</v>
      </c>
      <c r="F375" s="41"/>
    </row>
    <row r="377" spans="1:6" ht="31.5" customHeight="1" x14ac:dyDescent="0.45">
      <c r="A377" s="35" t="s">
        <v>151</v>
      </c>
      <c r="E377" s="42" t="s">
        <v>36</v>
      </c>
      <c r="F377" s="43">
        <v>18</v>
      </c>
    </row>
    <row r="378" spans="1:6" ht="31.5" customHeight="1" x14ac:dyDescent="0.35">
      <c r="A378" s="38">
        <v>1</v>
      </c>
      <c r="E378" s="44" t="s">
        <v>37</v>
      </c>
      <c r="F378" s="44"/>
    </row>
    <row r="379" spans="1:6" ht="31.5" customHeight="1" x14ac:dyDescent="0.35">
      <c r="A379" s="38">
        <v>2</v>
      </c>
      <c r="E379" s="44" t="s">
        <v>38</v>
      </c>
      <c r="F379" s="44"/>
    </row>
    <row r="383" spans="1:6" ht="31.5" customHeight="1" x14ac:dyDescent="0.35">
      <c r="F383" s="45" t="s">
        <v>39</v>
      </c>
    </row>
    <row r="385" spans="1:6" ht="31.5" customHeight="1" x14ac:dyDescent="0.35">
      <c r="A385" s="36" t="s">
        <v>150</v>
      </c>
    </row>
    <row r="386" spans="1:6" ht="31.5" customHeight="1" x14ac:dyDescent="0.35">
      <c r="A386" s="35" t="s">
        <v>31</v>
      </c>
      <c r="B386" s="37" t="s">
        <v>30</v>
      </c>
    </row>
    <row r="387" spans="1:6" ht="31.5" customHeight="1" x14ac:dyDescent="0.35">
      <c r="A387" s="35" t="s">
        <v>29</v>
      </c>
      <c r="B387" s="37">
        <v>822018</v>
      </c>
    </row>
    <row r="388" spans="1:6" ht="31.5" customHeight="1" x14ac:dyDescent="0.35">
      <c r="A388" s="35" t="s">
        <v>15</v>
      </c>
      <c r="B388" s="37" t="s">
        <v>127</v>
      </c>
    </row>
    <row r="389" spans="1:6" ht="31.5" customHeight="1" x14ac:dyDescent="0.35">
      <c r="A389" s="35" t="s">
        <v>32</v>
      </c>
      <c r="B389" s="37" t="s">
        <v>129</v>
      </c>
    </row>
    <row r="390" spans="1:6" ht="31.5" customHeight="1" x14ac:dyDescent="0.35">
      <c r="A390" s="35" t="s">
        <v>33</v>
      </c>
      <c r="B390" s="37" t="s">
        <v>128</v>
      </c>
    </row>
    <row r="392" spans="1:6" ht="31.5" customHeight="1" x14ac:dyDescent="0.35">
      <c r="A392" s="39" t="s">
        <v>168</v>
      </c>
    </row>
    <row r="393" spans="1:6" ht="31.5" customHeight="1" x14ac:dyDescent="0.35">
      <c r="A393" s="40" t="s">
        <v>34</v>
      </c>
      <c r="B393" s="40" t="s">
        <v>35</v>
      </c>
      <c r="C393" s="40" t="s">
        <v>34</v>
      </c>
      <c r="D393" s="40" t="s">
        <v>35</v>
      </c>
      <c r="E393" s="40" t="s">
        <v>34</v>
      </c>
      <c r="F393" s="40" t="s">
        <v>35</v>
      </c>
    </row>
    <row r="394" spans="1:6" ht="31.5" customHeight="1" x14ac:dyDescent="0.35">
      <c r="A394" s="41">
        <v>15102340</v>
      </c>
      <c r="B394" s="41"/>
      <c r="C394" s="41">
        <v>15102346</v>
      </c>
      <c r="D394" s="41"/>
      <c r="E394" s="41">
        <v>15102353</v>
      </c>
      <c r="F394" s="41"/>
    </row>
    <row r="395" spans="1:6" ht="31.5" customHeight="1" x14ac:dyDescent="0.35">
      <c r="A395" s="41">
        <v>15102341</v>
      </c>
      <c r="B395" s="41"/>
      <c r="C395" s="41">
        <v>15102347</v>
      </c>
      <c r="D395" s="41"/>
      <c r="E395" s="41">
        <v>15102354</v>
      </c>
      <c r="F395" s="41"/>
    </row>
    <row r="396" spans="1:6" ht="31.5" customHeight="1" x14ac:dyDescent="0.35">
      <c r="A396" s="41">
        <v>15102342</v>
      </c>
      <c r="B396" s="41"/>
      <c r="C396" s="41">
        <v>15102348</v>
      </c>
      <c r="D396" s="41"/>
      <c r="E396" s="41">
        <v>15102355</v>
      </c>
      <c r="F396" s="41"/>
    </row>
    <row r="397" spans="1:6" ht="31.5" customHeight="1" x14ac:dyDescent="0.35">
      <c r="A397" s="41">
        <v>15102343</v>
      </c>
      <c r="B397" s="41"/>
      <c r="C397" s="41">
        <v>15102350</v>
      </c>
      <c r="D397" s="41"/>
      <c r="E397" s="41">
        <v>15102356</v>
      </c>
      <c r="F397" s="41"/>
    </row>
    <row r="398" spans="1:6" ht="31.5" customHeight="1" x14ac:dyDescent="0.35">
      <c r="A398" s="41">
        <v>15102344</v>
      </c>
      <c r="B398" s="41"/>
      <c r="C398" s="41">
        <v>15102351</v>
      </c>
      <c r="D398" s="41"/>
      <c r="E398" s="41">
        <v>15102357</v>
      </c>
      <c r="F398" s="41"/>
    </row>
    <row r="399" spans="1:6" ht="31.5" customHeight="1" x14ac:dyDescent="0.35">
      <c r="A399" s="41">
        <v>15102345</v>
      </c>
      <c r="B399" s="41"/>
      <c r="C399" s="41">
        <v>15102352</v>
      </c>
      <c r="D399" s="41"/>
      <c r="E399" s="41">
        <v>15102358</v>
      </c>
      <c r="F399" s="41"/>
    </row>
    <row r="401" spans="1:6" ht="31.5" customHeight="1" x14ac:dyDescent="0.45">
      <c r="A401" s="35" t="s">
        <v>151</v>
      </c>
      <c r="E401" s="42" t="s">
        <v>36</v>
      </c>
      <c r="F401" s="43">
        <v>18</v>
      </c>
    </row>
    <row r="402" spans="1:6" ht="31.5" customHeight="1" x14ac:dyDescent="0.35">
      <c r="A402" s="38">
        <v>1</v>
      </c>
      <c r="E402" s="44" t="s">
        <v>37</v>
      </c>
      <c r="F402" s="44"/>
    </row>
    <row r="403" spans="1:6" ht="31.5" customHeight="1" x14ac:dyDescent="0.35">
      <c r="A403" s="38">
        <v>2</v>
      </c>
      <c r="E403" s="44" t="s">
        <v>38</v>
      </c>
      <c r="F403" s="44"/>
    </row>
    <row r="407" spans="1:6" ht="31.5" customHeight="1" x14ac:dyDescent="0.35">
      <c r="F407" s="45" t="s">
        <v>39</v>
      </c>
    </row>
    <row r="409" spans="1:6" ht="31.5" customHeight="1" x14ac:dyDescent="0.35">
      <c r="A409" s="36" t="s">
        <v>150</v>
      </c>
    </row>
    <row r="410" spans="1:6" ht="31.5" customHeight="1" x14ac:dyDescent="0.35">
      <c r="A410" s="35" t="s">
        <v>31</v>
      </c>
      <c r="B410" s="37" t="s">
        <v>30</v>
      </c>
    </row>
    <row r="411" spans="1:6" ht="31.5" customHeight="1" x14ac:dyDescent="0.35">
      <c r="A411" s="35" t="s">
        <v>29</v>
      </c>
      <c r="B411" s="37">
        <v>822018</v>
      </c>
    </row>
    <row r="412" spans="1:6" ht="31.5" customHeight="1" x14ac:dyDescent="0.35">
      <c r="A412" s="35" t="s">
        <v>15</v>
      </c>
      <c r="B412" s="37" t="s">
        <v>127</v>
      </c>
    </row>
    <row r="413" spans="1:6" ht="31.5" customHeight="1" x14ac:dyDescent="0.35">
      <c r="A413" s="35" t="s">
        <v>32</v>
      </c>
      <c r="B413" s="37" t="s">
        <v>129</v>
      </c>
    </row>
    <row r="414" spans="1:6" ht="31.5" customHeight="1" x14ac:dyDescent="0.35">
      <c r="A414" s="35" t="s">
        <v>33</v>
      </c>
      <c r="B414" s="37" t="s">
        <v>128</v>
      </c>
    </row>
    <row r="416" spans="1:6" ht="31.5" customHeight="1" x14ac:dyDescent="0.35">
      <c r="A416" s="39" t="s">
        <v>169</v>
      </c>
    </row>
    <row r="417" spans="1:6" ht="31.5" customHeight="1" x14ac:dyDescent="0.35">
      <c r="A417" s="40" t="s">
        <v>34</v>
      </c>
      <c r="B417" s="40" t="s">
        <v>35</v>
      </c>
      <c r="C417" s="40" t="s">
        <v>34</v>
      </c>
      <c r="D417" s="40" t="s">
        <v>35</v>
      </c>
      <c r="E417" s="40" t="s">
        <v>34</v>
      </c>
      <c r="F417" s="40" t="s">
        <v>35</v>
      </c>
    </row>
    <row r="418" spans="1:6" ht="31.5" customHeight="1" x14ac:dyDescent="0.35">
      <c r="A418" s="41">
        <v>15102359</v>
      </c>
      <c r="B418" s="41"/>
      <c r="C418" s="41">
        <v>15102365</v>
      </c>
      <c r="D418" s="41"/>
    </row>
    <row r="419" spans="1:6" ht="31.5" customHeight="1" x14ac:dyDescent="0.35">
      <c r="A419" s="41">
        <v>15102360</v>
      </c>
      <c r="B419" s="41"/>
    </row>
    <row r="420" spans="1:6" ht="31.5" customHeight="1" x14ac:dyDescent="0.35">
      <c r="A420" s="41">
        <v>15102361</v>
      </c>
      <c r="B420" s="41"/>
    </row>
    <row r="421" spans="1:6" ht="31.5" customHeight="1" x14ac:dyDescent="0.35">
      <c r="A421" s="41">
        <v>15102362</v>
      </c>
      <c r="B421" s="41"/>
    </row>
    <row r="422" spans="1:6" ht="31.5" customHeight="1" x14ac:dyDescent="0.35">
      <c r="A422" s="41">
        <v>15102363</v>
      </c>
      <c r="B422" s="41"/>
    </row>
    <row r="423" spans="1:6" ht="31.5" customHeight="1" x14ac:dyDescent="0.35">
      <c r="A423" s="41">
        <v>15102364</v>
      </c>
      <c r="B423" s="41"/>
    </row>
    <row r="425" spans="1:6" ht="31.5" customHeight="1" x14ac:dyDescent="0.45">
      <c r="A425" s="35" t="s">
        <v>151</v>
      </c>
      <c r="E425" s="42" t="s">
        <v>36</v>
      </c>
      <c r="F425" s="43">
        <v>7</v>
      </c>
    </row>
    <row r="426" spans="1:6" ht="31.5" customHeight="1" x14ac:dyDescent="0.35">
      <c r="A426" s="38">
        <v>1</v>
      </c>
      <c r="E426" s="44" t="s">
        <v>37</v>
      </c>
      <c r="F426" s="44"/>
    </row>
    <row r="427" spans="1:6" ht="31.5" customHeight="1" x14ac:dyDescent="0.35">
      <c r="A427" s="38">
        <v>2</v>
      </c>
      <c r="E427" s="44" t="s">
        <v>38</v>
      </c>
      <c r="F427" s="44"/>
    </row>
    <row r="431" spans="1:6" ht="31.5" customHeight="1" x14ac:dyDescent="0.35">
      <c r="F431" s="45" t="s">
        <v>39</v>
      </c>
    </row>
  </sheetData>
  <pageMargins left="0.70866141732283472" right="0.70866141732283472" top="0.74803149606299213" bottom="0.74803149606299213" header="0.31496062992125984" footer="0.31496062992125984"/>
  <pageSetup paperSize="9" scale="10" orientation="landscape" r:id="rId1"/>
  <rowBreaks count="18" manualBreakCount="18">
    <brk id="23" max="16383" man="1"/>
    <brk id="47" max="16383" man="1"/>
    <brk id="71" max="16383" man="1"/>
    <brk id="95" max="16383" man="1"/>
    <brk id="119" max="16383" man="1"/>
    <brk id="143" max="16383" man="1"/>
    <brk id="167" max="16383" man="1"/>
    <brk id="191" max="16383" man="1"/>
    <brk id="215" max="16383" man="1"/>
    <brk id="239" max="16383" man="1"/>
    <brk id="263" max="16383" man="1"/>
    <brk id="287" max="16383" man="1"/>
    <brk id="311" max="16383" man="1"/>
    <brk id="335" max="16383" man="1"/>
    <brk id="359" max="16383" man="1"/>
    <brk id="383" max="16383" man="1"/>
    <brk id="407" max="16383" man="1"/>
    <brk id="431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3"/>
  <sheetViews>
    <sheetView workbookViewId="0">
      <selection activeCell="C6" sqref="C6"/>
    </sheetView>
  </sheetViews>
  <sheetFormatPr defaultColWidth="8.81640625" defaultRowHeight="14.5" x14ac:dyDescent="0.35"/>
  <cols>
    <col min="1" max="1" width="7.36328125" customWidth="1"/>
    <col min="2" max="2" width="15.453125" bestFit="1" customWidth="1"/>
    <col min="3" max="8" width="7.36328125" customWidth="1"/>
  </cols>
  <sheetData>
    <row r="1" spans="1:14" ht="35" customHeight="1" x14ac:dyDescent="0.35">
      <c r="A1" s="1" t="s">
        <v>1</v>
      </c>
      <c r="B1" s="3">
        <v>44290.521006944444</v>
      </c>
      <c r="D1" s="2"/>
      <c r="F1" s="2"/>
      <c r="H1" s="2"/>
    </row>
    <row r="2" spans="1:14" ht="35" customHeight="1" x14ac:dyDescent="0.35">
      <c r="A2" s="2" t="s">
        <v>6</v>
      </c>
      <c r="B2" s="4">
        <v>44290.521099537036</v>
      </c>
      <c r="C2" s="2"/>
      <c r="E2" s="2"/>
      <c r="G2" s="2"/>
    </row>
    <row r="3" spans="1:14" ht="35" customHeight="1" x14ac:dyDescent="0.35">
      <c r="A3" t="s">
        <v>9</v>
      </c>
      <c r="B3" s="3">
        <v>44290.521296296298</v>
      </c>
      <c r="D3" s="2"/>
      <c r="F3" s="2"/>
      <c r="H3" s="2"/>
    </row>
    <row r="4" spans="1:14" ht="35" customHeight="1" x14ac:dyDescent="0.35">
      <c r="A4" s="2" t="s">
        <v>7</v>
      </c>
      <c r="B4" s="4">
        <v>44290.521180555559</v>
      </c>
      <c r="C4" s="2"/>
      <c r="E4" s="2"/>
      <c r="G4" s="2"/>
    </row>
    <row r="5" spans="1:14" ht="35" customHeight="1" x14ac:dyDescent="0.35">
      <c r="A5" t="s">
        <v>8</v>
      </c>
      <c r="B5" s="3">
        <v>44290.521238425928</v>
      </c>
      <c r="D5" s="2"/>
      <c r="F5" s="2"/>
      <c r="H5" s="2"/>
      <c r="I5" t="s">
        <v>2</v>
      </c>
      <c r="J5" t="s">
        <v>4</v>
      </c>
      <c r="N5" t="s">
        <v>2</v>
      </c>
    </row>
    <row r="6" spans="1:14" ht="35" customHeight="1" x14ac:dyDescent="0.35">
      <c r="A6" s="2"/>
      <c r="C6" s="2"/>
      <c r="E6" s="2"/>
      <c r="G6" s="2"/>
      <c r="I6" t="s">
        <v>2</v>
      </c>
      <c r="N6" t="s">
        <v>2</v>
      </c>
    </row>
    <row r="7" spans="1:14" ht="35" customHeight="1" x14ac:dyDescent="0.35">
      <c r="B7" s="2"/>
      <c r="D7" s="2"/>
      <c r="F7" s="2"/>
      <c r="H7" s="2"/>
    </row>
    <row r="8" spans="1:14" ht="35" customHeight="1" x14ac:dyDescent="0.35">
      <c r="A8" s="2"/>
      <c r="C8" s="2"/>
      <c r="E8" s="2"/>
      <c r="G8" s="2"/>
    </row>
    <row r="11" spans="1:14" x14ac:dyDescent="0.35">
      <c r="G11" t="s">
        <v>3</v>
      </c>
    </row>
    <row r="12" spans="1:14" x14ac:dyDescent="0.35">
      <c r="G12" t="s">
        <v>3</v>
      </c>
    </row>
    <row r="13" spans="1:14" x14ac:dyDescent="0.35">
      <c r="G13" t="s">
        <v>5</v>
      </c>
    </row>
  </sheetData>
  <pageMargins left="0.7" right="0.7" top="0.75" bottom="0.75" header="0.3" footer="0.3"/>
  <pageSetup paperSize="9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80727-B3DD-468A-AE06-815E63582FC5}">
  <sheetPr codeName="Sheet4"/>
  <dimension ref="B3:K22"/>
  <sheetViews>
    <sheetView workbookViewId="0">
      <selection activeCell="B29" sqref="B29"/>
    </sheetView>
  </sheetViews>
  <sheetFormatPr defaultColWidth="8.81640625" defaultRowHeight="14.5" x14ac:dyDescent="0.35"/>
  <sheetData>
    <row r="3" spans="2:6" x14ac:dyDescent="0.35">
      <c r="B3" s="32">
        <v>15600774</v>
      </c>
      <c r="C3" s="32"/>
      <c r="D3" s="32">
        <v>15600782</v>
      </c>
      <c r="E3" s="32"/>
      <c r="F3" s="32">
        <v>15600790</v>
      </c>
    </row>
    <row r="4" spans="2:6" x14ac:dyDescent="0.35">
      <c r="B4" s="32">
        <v>15600775</v>
      </c>
      <c r="C4" s="32"/>
      <c r="D4" s="32">
        <v>15600783</v>
      </c>
      <c r="E4" s="32"/>
      <c r="F4" s="32">
        <v>15600791</v>
      </c>
    </row>
    <row r="5" spans="2:6" x14ac:dyDescent="0.35">
      <c r="B5" s="32">
        <v>15600776</v>
      </c>
      <c r="C5" s="32"/>
      <c r="D5" s="32">
        <v>15600784</v>
      </c>
      <c r="E5" s="32"/>
      <c r="F5" s="32">
        <v>15600792</v>
      </c>
    </row>
    <row r="6" spans="2:6" x14ac:dyDescent="0.35">
      <c r="B6" s="32">
        <v>15600777</v>
      </c>
      <c r="C6" s="32"/>
      <c r="D6" s="32">
        <v>15600785</v>
      </c>
      <c r="E6" s="32"/>
      <c r="F6" s="32">
        <v>15600793</v>
      </c>
    </row>
    <row r="7" spans="2:6" x14ac:dyDescent="0.35">
      <c r="B7" s="32">
        <v>15600778</v>
      </c>
      <c r="C7" s="32"/>
      <c r="D7" s="32">
        <v>15600786</v>
      </c>
      <c r="E7" s="32"/>
      <c r="F7" s="32">
        <v>15600794</v>
      </c>
    </row>
    <row r="8" spans="2:6" x14ac:dyDescent="0.35">
      <c r="B8" s="32">
        <v>15600779</v>
      </c>
      <c r="C8" s="32"/>
      <c r="D8" s="32">
        <v>15600787</v>
      </c>
      <c r="E8" s="32"/>
      <c r="F8" s="32">
        <v>15600795</v>
      </c>
    </row>
    <row r="9" spans="2:6" x14ac:dyDescent="0.35">
      <c r="B9" s="32">
        <v>15600780</v>
      </c>
      <c r="C9" s="32"/>
      <c r="D9" s="32">
        <v>15600788</v>
      </c>
      <c r="E9" s="65"/>
    </row>
    <row r="10" spans="2:6" x14ac:dyDescent="0.35">
      <c r="B10" s="32">
        <v>15600781</v>
      </c>
      <c r="C10" s="32"/>
      <c r="D10" s="32">
        <v>15600789</v>
      </c>
      <c r="E10" s="65"/>
    </row>
    <row r="22" spans="4:11" ht="18" x14ac:dyDescent="0.35">
      <c r="D22" s="52"/>
      <c r="E22" s="68"/>
      <c r="J22" s="52"/>
      <c r="K22" s="53"/>
    </row>
  </sheetData>
  <dataValidations count="1">
    <dataValidation type="whole" operator="greaterThan" allowBlank="1" showInputMessage="1" showErrorMessage="1" errorTitle="Positive Integer" error="Positive Integer daal de KHAPITAR!!!" promptTitle="Roll No" prompt="Roll Number must be a Positive Integeer" sqref="B3:C3" xr:uid="{5C5D0827-CD58-4951-9F65-178125301B70}">
      <formula1>0</formula1>
    </dataValidation>
  </dataValidations>
  <pageMargins left="0.7" right="0.7" top="0.75" bottom="0.75" header="0.3" footer="0.3"/>
  <pageSetup paperSize="9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DC035-976C-4FBC-9B6F-309FEAF63F84}">
  <sheetPr codeName="Sheet5">
    <pageSetUpPr fitToPage="1"/>
  </sheetPr>
  <dimension ref="A1:D27"/>
  <sheetViews>
    <sheetView topLeftCell="A7" zoomScale="40" zoomScaleNormal="40" workbookViewId="0">
      <selection activeCell="B2" sqref="B2:C2"/>
    </sheetView>
  </sheetViews>
  <sheetFormatPr defaultColWidth="8.81640625" defaultRowHeight="14.5" x14ac:dyDescent="0.35"/>
  <cols>
    <col min="1" max="1" width="99.453125" style="10" customWidth="1"/>
    <col min="2" max="2" width="73.1796875" style="10" customWidth="1"/>
    <col min="3" max="3" width="70.1796875" style="10" customWidth="1"/>
    <col min="4" max="16384" width="8.81640625" style="10"/>
  </cols>
  <sheetData>
    <row r="1" spans="1:4" ht="67.25" customHeight="1" x14ac:dyDescent="0.35">
      <c r="A1" s="71" t="s">
        <v>125</v>
      </c>
      <c r="B1" s="71"/>
      <c r="C1" s="71"/>
    </row>
    <row r="2" spans="1:4" ht="118.75" customHeight="1" x14ac:dyDescent="0.35">
      <c r="A2" s="78" t="s">
        <v>31</v>
      </c>
      <c r="B2" s="70" t="s">
        <v>30</v>
      </c>
      <c r="C2" s="70"/>
    </row>
    <row r="3" spans="1:4" ht="31.25" customHeight="1" x14ac:dyDescent="0.35">
      <c r="A3" s="78" t="s">
        <v>29</v>
      </c>
      <c r="B3" s="55">
        <v>822018</v>
      </c>
      <c r="C3" s="54"/>
    </row>
    <row r="4" spans="1:4" ht="31.25" customHeight="1" x14ac:dyDescent="0.35">
      <c r="A4" s="78" t="s">
        <v>15</v>
      </c>
      <c r="B4" s="51" t="str">
        <f>Sheet1!D13</f>
        <v>SECONDARY SCHOOL EXAMINATION 2022 (Term-II)</v>
      </c>
      <c r="C4" s="54"/>
    </row>
    <row r="5" spans="1:4" ht="174" customHeight="1" x14ac:dyDescent="0.35">
      <c r="A5" s="78" t="s">
        <v>32</v>
      </c>
      <c r="B5" s="72" t="str">
        <f>SubjectNameCode</f>
        <v>049 - PAINTING</v>
      </c>
      <c r="C5" s="72"/>
    </row>
    <row r="6" spans="1:4" ht="90" x14ac:dyDescent="0.35">
      <c r="A6" s="78" t="s">
        <v>33</v>
      </c>
      <c r="B6" s="64" t="str">
        <f>ExamDate</f>
        <v>26.04.2022</v>
      </c>
      <c r="C6" s="54"/>
    </row>
    <row r="7" spans="1:4" ht="31.25" customHeight="1" x14ac:dyDescent="0.65">
      <c r="A7" s="46"/>
      <c r="B7" s="47"/>
      <c r="C7" s="46"/>
    </row>
    <row r="8" spans="1:4" ht="31.25" customHeight="1" x14ac:dyDescent="0.65">
      <c r="A8" s="48"/>
      <c r="B8" s="49"/>
      <c r="C8" s="48"/>
    </row>
    <row r="9" spans="1:4" ht="92.5" customHeight="1" x14ac:dyDescent="1.6">
      <c r="A9" s="73" t="s">
        <v>40</v>
      </c>
      <c r="B9" s="74" t="s">
        <v>41</v>
      </c>
      <c r="C9" s="75" t="s">
        <v>42</v>
      </c>
      <c r="D9" s="50"/>
    </row>
    <row r="10" spans="1:4" ht="61.5" x14ac:dyDescent="1.35">
      <c r="A10" s="77" t="s">
        <v>152</v>
      </c>
      <c r="B10" s="76">
        <v>15100675</v>
      </c>
      <c r="C10" s="76">
        <v>15100692</v>
      </c>
    </row>
    <row r="11" spans="1:4" ht="61.5" x14ac:dyDescent="1.35">
      <c r="A11" s="77" t="s">
        <v>153</v>
      </c>
      <c r="B11" s="76">
        <v>15100693</v>
      </c>
      <c r="C11" s="76">
        <v>15100710</v>
      </c>
    </row>
    <row r="12" spans="1:4" ht="61.5" x14ac:dyDescent="1.35">
      <c r="A12" s="77" t="s">
        <v>154</v>
      </c>
      <c r="B12" s="76">
        <v>15100711</v>
      </c>
      <c r="C12" s="76">
        <v>15100728</v>
      </c>
    </row>
    <row r="13" spans="1:4" ht="61.5" x14ac:dyDescent="1.35">
      <c r="A13" s="77" t="s">
        <v>155</v>
      </c>
      <c r="B13" s="76">
        <v>15100729</v>
      </c>
      <c r="C13" s="76">
        <v>15101830</v>
      </c>
    </row>
    <row r="14" spans="1:4" ht="61.5" x14ac:dyDescent="1.35">
      <c r="A14" s="77" t="s">
        <v>156</v>
      </c>
      <c r="B14" s="76">
        <v>15101831</v>
      </c>
      <c r="C14" s="76">
        <v>15101848</v>
      </c>
    </row>
    <row r="15" spans="1:4" ht="61.5" x14ac:dyDescent="1.35">
      <c r="A15" s="77" t="s">
        <v>157</v>
      </c>
      <c r="B15" s="76">
        <v>15101849</v>
      </c>
      <c r="C15" s="76">
        <v>15101866</v>
      </c>
    </row>
    <row r="16" spans="1:4" ht="61.5" x14ac:dyDescent="1.35">
      <c r="A16" s="77" t="s">
        <v>158</v>
      </c>
      <c r="B16" s="76">
        <v>15101867</v>
      </c>
      <c r="C16" s="76">
        <v>15101884</v>
      </c>
    </row>
    <row r="17" spans="1:3" ht="61.5" x14ac:dyDescent="1.35">
      <c r="A17" s="77" t="s">
        <v>159</v>
      </c>
      <c r="B17" s="76">
        <v>15101885</v>
      </c>
      <c r="C17" s="76">
        <v>15101902</v>
      </c>
    </row>
    <row r="18" spans="1:3" ht="61.5" x14ac:dyDescent="1.35">
      <c r="A18" s="77" t="s">
        <v>160</v>
      </c>
      <c r="B18" s="76">
        <v>15101903</v>
      </c>
      <c r="C18" s="76">
        <v>15101920</v>
      </c>
    </row>
    <row r="19" spans="1:3" ht="61.5" x14ac:dyDescent="1.35">
      <c r="A19" s="77" t="s">
        <v>161</v>
      </c>
      <c r="B19" s="76">
        <v>15101921</v>
      </c>
      <c r="C19" s="76">
        <v>15101938</v>
      </c>
    </row>
    <row r="20" spans="1:3" ht="61.5" x14ac:dyDescent="1.35">
      <c r="A20" s="77" t="s">
        <v>162</v>
      </c>
      <c r="B20" s="76">
        <v>15101939</v>
      </c>
      <c r="C20" s="76">
        <v>15101956</v>
      </c>
    </row>
    <row r="21" spans="1:3" ht="61.5" x14ac:dyDescent="1.35">
      <c r="A21" s="77" t="s">
        <v>163</v>
      </c>
      <c r="B21" s="76">
        <v>15101957</v>
      </c>
      <c r="C21" s="76">
        <v>15101974</v>
      </c>
    </row>
    <row r="22" spans="1:3" ht="61.5" x14ac:dyDescent="1.35">
      <c r="A22" s="77" t="s">
        <v>164</v>
      </c>
      <c r="B22" s="76">
        <v>15101975</v>
      </c>
      <c r="C22" s="76">
        <v>15101992</v>
      </c>
    </row>
    <row r="23" spans="1:3" ht="61.5" x14ac:dyDescent="1.35">
      <c r="A23" s="77" t="s">
        <v>165</v>
      </c>
      <c r="B23" s="76">
        <v>15101993</v>
      </c>
      <c r="C23" s="76">
        <v>15102011</v>
      </c>
    </row>
    <row r="24" spans="1:3" ht="61.5" x14ac:dyDescent="1.35">
      <c r="A24" s="77" t="s">
        <v>166</v>
      </c>
      <c r="B24" s="76">
        <v>15102012</v>
      </c>
      <c r="C24" s="76">
        <v>15102115</v>
      </c>
    </row>
    <row r="25" spans="1:3" ht="61.5" x14ac:dyDescent="1.35">
      <c r="A25" s="77" t="s">
        <v>167</v>
      </c>
      <c r="B25" s="76">
        <v>15102116</v>
      </c>
      <c r="C25" s="76">
        <v>15102339</v>
      </c>
    </row>
    <row r="26" spans="1:3" ht="61.5" x14ac:dyDescent="1.35">
      <c r="A26" s="77" t="s">
        <v>168</v>
      </c>
      <c r="B26" s="76">
        <v>15102340</v>
      </c>
      <c r="C26" s="76">
        <v>15102358</v>
      </c>
    </row>
    <row r="27" spans="1:3" ht="61.5" x14ac:dyDescent="1.35">
      <c r="A27" s="77" t="s">
        <v>169</v>
      </c>
      <c r="B27" s="76">
        <v>15102359</v>
      </c>
      <c r="C27" s="76">
        <v>15102365</v>
      </c>
    </row>
  </sheetData>
  <mergeCells count="3">
    <mergeCell ref="B2:C2"/>
    <mergeCell ref="A1:C1"/>
    <mergeCell ref="B5:C5"/>
  </mergeCells>
  <phoneticPr fontId="13" type="noConversion"/>
  <pageMargins left="1.1023622047244095" right="0.70866141732283472" top="0.74803149606299213" bottom="0.74803149606299213" header="0.31496062992125984" footer="0.31496062992125984"/>
  <pageSetup paperSize="8" scale="4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2DFA7-4204-49B0-8D37-7613BE27171B}">
  <sheetPr codeName="Sheet6"/>
  <dimension ref="A2:D22"/>
  <sheetViews>
    <sheetView topLeftCell="A15" zoomScale="238" workbookViewId="0">
      <selection activeCell="D3" sqref="D3:D22"/>
    </sheetView>
  </sheetViews>
  <sheetFormatPr defaultColWidth="8.81640625" defaultRowHeight="14.5" x14ac:dyDescent="0.35"/>
  <cols>
    <col min="1" max="3" width="10.453125" customWidth="1"/>
  </cols>
  <sheetData>
    <row r="2" spans="1:4" x14ac:dyDescent="0.35">
      <c r="A2" t="s">
        <v>64</v>
      </c>
      <c r="B2" t="s">
        <v>65</v>
      </c>
      <c r="C2" t="s">
        <v>66</v>
      </c>
      <c r="D2" t="s">
        <v>68</v>
      </c>
    </row>
    <row r="3" spans="1:4" x14ac:dyDescent="0.35">
      <c r="A3" t="s">
        <v>49</v>
      </c>
      <c r="B3" t="s">
        <v>44</v>
      </c>
      <c r="C3" t="s">
        <v>51</v>
      </c>
      <c r="D3" t="str">
        <f>CONCATENATE(Table1[[#This Row],[Column1]]," - ",Table1[[#This Row],[Column2]]," - ",Table1[[#This Row],[Column3]])</f>
        <v>ROOM 01 - 11A - GROUND FLOOR</v>
      </c>
    </row>
    <row r="4" spans="1:4" x14ac:dyDescent="0.35">
      <c r="A4" t="s">
        <v>50</v>
      </c>
      <c r="B4" t="s">
        <v>43</v>
      </c>
      <c r="C4" t="s">
        <v>51</v>
      </c>
      <c r="D4" t="str">
        <f>CONCATENATE(Table1[[#This Row],[Column1]]," - ",Table1[[#This Row],[Column2]]," - ",Table1[[#This Row],[Column3]])</f>
        <v>ROOM 02 - 12A - GROUND FLOOR</v>
      </c>
    </row>
    <row r="5" spans="1:4" x14ac:dyDescent="0.35">
      <c r="A5" t="s">
        <v>53</v>
      </c>
      <c r="B5" t="s">
        <v>46</v>
      </c>
      <c r="C5" t="s">
        <v>51</v>
      </c>
      <c r="D5" t="str">
        <f>CONCATENATE(Table1[[#This Row],[Column1]]," - ",Table1[[#This Row],[Column2]]," - ",Table1[[#This Row],[Column3]])</f>
        <v>ROOM 03 - 10A - GROUND FLOOR</v>
      </c>
    </row>
    <row r="6" spans="1:4" x14ac:dyDescent="0.35">
      <c r="A6" t="s">
        <v>54</v>
      </c>
      <c r="B6" t="s">
        <v>45</v>
      </c>
      <c r="C6" t="s">
        <v>51</v>
      </c>
      <c r="D6" t="str">
        <f>CONCATENATE(Table1[[#This Row],[Column1]]," - ",Table1[[#This Row],[Column2]]," - ",Table1[[#This Row],[Column3]])</f>
        <v>ROOM 04 - 10B - GROUND FLOOR</v>
      </c>
    </row>
    <row r="7" spans="1:4" x14ac:dyDescent="0.35">
      <c r="A7" t="s">
        <v>55</v>
      </c>
      <c r="B7" t="s">
        <v>48</v>
      </c>
      <c r="C7" t="s">
        <v>51</v>
      </c>
      <c r="D7" t="str">
        <f>CONCATENATE(Table1[[#This Row],[Column1]]," - ",Table1[[#This Row],[Column2]]," - ",Table1[[#This Row],[Column3]])</f>
        <v>ROOM 05 - 9A - GROUND FLOOR</v>
      </c>
    </row>
    <row r="8" spans="1:4" x14ac:dyDescent="0.35">
      <c r="A8" t="s">
        <v>56</v>
      </c>
      <c r="B8" t="s">
        <v>47</v>
      </c>
      <c r="C8" t="s">
        <v>51</v>
      </c>
      <c r="D8" t="str">
        <f>CONCATENATE(Table1[[#This Row],[Column1]]," - ",Table1[[#This Row],[Column2]]," - ",Table1[[#This Row],[Column3]])</f>
        <v>ROOM 06 - 9B - GROUND FLOOR</v>
      </c>
    </row>
    <row r="9" spans="1:4" x14ac:dyDescent="0.35">
      <c r="A9" t="s">
        <v>57</v>
      </c>
      <c r="B9" t="s">
        <v>130</v>
      </c>
      <c r="C9" t="s">
        <v>52</v>
      </c>
      <c r="D9" t="str">
        <f>CONCATENATE(Table1[[#This Row],[Column1]]," - ",Table1[[#This Row],[Column2]]," - ",Table1[[#This Row],[Column3]])</f>
        <v>ROOM 07 - 7C - FIRST FLOOR</v>
      </c>
    </row>
    <row r="10" spans="1:4" x14ac:dyDescent="0.35">
      <c r="A10" t="s">
        <v>58</v>
      </c>
      <c r="B10" t="s">
        <v>131</v>
      </c>
      <c r="C10" t="s">
        <v>52</v>
      </c>
      <c r="D10" t="str">
        <f>CONCATENATE(Table1[[#This Row],[Column1]]," - ",Table1[[#This Row],[Column2]]," - ",Table1[[#This Row],[Column3]])</f>
        <v>ROOM 08 - 7A - FIRST FLOOR</v>
      </c>
    </row>
    <row r="11" spans="1:4" x14ac:dyDescent="0.35">
      <c r="A11" t="s">
        <v>59</v>
      </c>
      <c r="B11" t="s">
        <v>132</v>
      </c>
      <c r="C11" t="s">
        <v>52</v>
      </c>
      <c r="D11" t="str">
        <f>CONCATENATE(Table1[[#This Row],[Column1]]," - ",Table1[[#This Row],[Column2]]," - ",Table1[[#This Row],[Column3]])</f>
        <v>ROOM 09 - 7B - FIRST FLOOR</v>
      </c>
    </row>
    <row r="12" spans="1:4" x14ac:dyDescent="0.35">
      <c r="A12" t="s">
        <v>60</v>
      </c>
      <c r="B12" t="s">
        <v>133</v>
      </c>
      <c r="C12" t="s">
        <v>52</v>
      </c>
      <c r="D12" t="str">
        <f>CONCATENATE(Table1[[#This Row],[Column1]]," - ",Table1[[#This Row],[Column2]]," - ",Table1[[#This Row],[Column3]])</f>
        <v>ROOM 10 - 6A - FIRST FLOOR</v>
      </c>
    </row>
    <row r="13" spans="1:4" x14ac:dyDescent="0.35">
      <c r="A13" t="s">
        <v>61</v>
      </c>
      <c r="B13" t="s">
        <v>134</v>
      </c>
      <c r="C13" t="s">
        <v>52</v>
      </c>
      <c r="D13" t="str">
        <f>CONCATENATE(Table1[[#This Row],[Column1]]," - ",Table1[[#This Row],[Column2]]," - ",Table1[[#This Row],[Column3]])</f>
        <v>ROOM 11 - 6B - FIRST FLOOR</v>
      </c>
    </row>
    <row r="14" spans="1:4" x14ac:dyDescent="0.35">
      <c r="A14" t="s">
        <v>62</v>
      </c>
      <c r="B14" t="s">
        <v>135</v>
      </c>
      <c r="D14" t="str">
        <f>CONCATENATE(Table1[[#This Row],[Column1]]," - ",Table1[[#This Row],[Column2]]," - ",Table1[[#This Row],[Column3]])</f>
        <v xml:space="preserve">ROOM 12 - 6C - </v>
      </c>
    </row>
    <row r="15" spans="1:4" x14ac:dyDescent="0.35">
      <c r="A15" t="s">
        <v>63</v>
      </c>
      <c r="B15" t="s">
        <v>136</v>
      </c>
      <c r="C15" t="s">
        <v>52</v>
      </c>
      <c r="D15" t="str">
        <f>CONCATENATE(Table1[[#This Row],[Column1]]," - ",Table1[[#This Row],[Column2]]," - ",Table1[[#This Row],[Column3]])</f>
        <v>ROOM 13 - 8A - FIRST FLOOR</v>
      </c>
    </row>
    <row r="16" spans="1:4" x14ac:dyDescent="0.35">
      <c r="A16" t="s">
        <v>67</v>
      </c>
      <c r="B16" t="s">
        <v>137</v>
      </c>
      <c r="C16" t="s">
        <v>52</v>
      </c>
      <c r="D16" t="str">
        <f>CONCATENATE(Table1[[#This Row],[Column1]]," - ",Table1[[#This Row],[Column2]]," - ",Table1[[#This Row],[Column3]])</f>
        <v>ROOM 14 - 8B - FIRST FLOOR</v>
      </c>
    </row>
    <row r="17" spans="1:4" x14ac:dyDescent="0.35">
      <c r="A17" t="s">
        <v>138</v>
      </c>
      <c r="B17" t="s">
        <v>144</v>
      </c>
      <c r="D17" s="69" t="str">
        <f>CONCATENATE(Table1[[#This Row],[Column1]]," - ",Table1[[#This Row],[Column2]]," - ",Table1[[#This Row],[Column3]])</f>
        <v xml:space="preserve">ROOM 15 - 5C - </v>
      </c>
    </row>
    <row r="18" spans="1:4" x14ac:dyDescent="0.35">
      <c r="A18" t="s">
        <v>139</v>
      </c>
      <c r="B18" t="s">
        <v>145</v>
      </c>
      <c r="D18" s="69" t="str">
        <f>CONCATENATE(Table1[[#This Row],[Column1]]," - ",Table1[[#This Row],[Column2]]," - ",Table1[[#This Row],[Column3]])</f>
        <v xml:space="preserve">ROOM 16 - 5B - </v>
      </c>
    </row>
    <row r="19" spans="1:4" x14ac:dyDescent="0.35">
      <c r="A19" t="s">
        <v>140</v>
      </c>
      <c r="B19" t="s">
        <v>146</v>
      </c>
      <c r="D19" s="69" t="str">
        <f>CONCATENATE(Table1[[#This Row],[Column1]]," - ",Table1[[#This Row],[Column2]]," - ",Table1[[#This Row],[Column3]])</f>
        <v xml:space="preserve">ROOM 17 - 5A - </v>
      </c>
    </row>
    <row r="20" spans="1:4" x14ac:dyDescent="0.35">
      <c r="A20" t="s">
        <v>141</v>
      </c>
      <c r="B20" t="s">
        <v>147</v>
      </c>
      <c r="D20" s="69" t="str">
        <f>CONCATENATE(Table1[[#This Row],[Column1]]," - ",Table1[[#This Row],[Column2]]," - ",Table1[[#This Row],[Column3]])</f>
        <v xml:space="preserve">ROOM 18 - 4A - </v>
      </c>
    </row>
    <row r="21" spans="1:4" x14ac:dyDescent="0.35">
      <c r="A21" t="s">
        <v>142</v>
      </c>
      <c r="B21" t="s">
        <v>148</v>
      </c>
      <c r="D21" s="69" t="str">
        <f>CONCATENATE(Table1[[#This Row],[Column1]]," - ",Table1[[#This Row],[Column2]]," - ",Table1[[#This Row],[Column3]])</f>
        <v xml:space="preserve">ROOM 19 - 4B - </v>
      </c>
    </row>
    <row r="22" spans="1:4" x14ac:dyDescent="0.35">
      <c r="A22" t="s">
        <v>143</v>
      </c>
      <c r="B22" t="s">
        <v>149</v>
      </c>
      <c r="D22" s="69" t="str">
        <f>CONCATENATE(Table1[[#This Row],[Column1]]," - ",Table1[[#This Row],[Column2]]," - ",Table1[[#This Row],[Column3]])</f>
        <v xml:space="preserve">ROOM 20 - 4C - </v>
      </c>
    </row>
  </sheetData>
  <pageMargins left="0.7" right="0.7" top="0.75" bottom="0.75" header="0.3" footer="0.3"/>
  <pageSetup paperSize="9" orientation="landscape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6DA66-9D7F-47CE-B315-4ABCD465DB5C}">
  <sheetPr codeName="Sheet7">
    <pageSetUpPr fitToPage="1"/>
  </sheetPr>
  <dimension ref="A1:E39"/>
  <sheetViews>
    <sheetView topLeftCell="A4" workbookViewId="0">
      <selection activeCell="B9" sqref="B9"/>
    </sheetView>
  </sheetViews>
  <sheetFormatPr defaultColWidth="8.81640625" defaultRowHeight="14.5" x14ac:dyDescent="0.35"/>
  <cols>
    <col min="1" max="1" width="14.1796875" customWidth="1"/>
    <col min="2" max="2" width="54.453125" customWidth="1"/>
    <col min="3" max="3" width="30.6328125" bestFit="1" customWidth="1"/>
    <col min="4" max="4" width="25.1796875" customWidth="1"/>
    <col min="5" max="5" width="22.81640625" customWidth="1"/>
  </cols>
  <sheetData>
    <row r="1" spans="1:5" ht="21" x14ac:dyDescent="0.5">
      <c r="A1" s="56" t="s">
        <v>69</v>
      </c>
      <c r="B1" s="56" t="s">
        <v>70</v>
      </c>
      <c r="C1" s="57" t="s">
        <v>71</v>
      </c>
      <c r="D1" s="56" t="s">
        <v>72</v>
      </c>
      <c r="E1" s="56" t="s">
        <v>73</v>
      </c>
    </row>
    <row r="2" spans="1:5" ht="18" x14ac:dyDescent="0.35">
      <c r="A2" s="58">
        <v>1705824</v>
      </c>
      <c r="B2" s="58" t="s">
        <v>74</v>
      </c>
      <c r="C2" s="59" t="s">
        <v>75</v>
      </c>
      <c r="D2" s="59"/>
      <c r="E2" s="59"/>
    </row>
    <row r="3" spans="1:5" ht="18" x14ac:dyDescent="0.35">
      <c r="A3" s="61">
        <v>1460369</v>
      </c>
      <c r="B3" s="58" t="s">
        <v>76</v>
      </c>
      <c r="C3" s="60" t="s">
        <v>77</v>
      </c>
      <c r="D3" s="60"/>
      <c r="E3" s="60"/>
    </row>
    <row r="4" spans="1:5" ht="18" x14ac:dyDescent="0.35">
      <c r="A4" s="58">
        <v>1736081</v>
      </c>
      <c r="B4" s="58" t="s">
        <v>87</v>
      </c>
      <c r="C4" s="59" t="s">
        <v>79</v>
      </c>
      <c r="D4" s="60"/>
      <c r="E4" s="60"/>
    </row>
    <row r="5" spans="1:5" ht="18" x14ac:dyDescent="0.35">
      <c r="A5" s="58">
        <v>1703172</v>
      </c>
      <c r="B5" s="58" t="s">
        <v>109</v>
      </c>
      <c r="C5" s="59" t="s">
        <v>81</v>
      </c>
      <c r="D5" s="59"/>
      <c r="E5" s="59"/>
    </row>
    <row r="6" spans="1:5" ht="18" x14ac:dyDescent="0.35">
      <c r="A6" s="61">
        <v>210968</v>
      </c>
      <c r="B6" s="58" t="s">
        <v>102</v>
      </c>
      <c r="C6" s="59" t="s">
        <v>83</v>
      </c>
      <c r="D6" s="60"/>
      <c r="E6" s="60"/>
    </row>
    <row r="7" spans="1:5" ht="18" x14ac:dyDescent="0.35">
      <c r="A7" s="58">
        <v>1482103</v>
      </c>
      <c r="B7" s="58" t="s">
        <v>89</v>
      </c>
      <c r="C7" s="60" t="s">
        <v>90</v>
      </c>
      <c r="D7" s="60"/>
      <c r="E7" s="60"/>
    </row>
    <row r="8" spans="1:5" ht="18" x14ac:dyDescent="0.35">
      <c r="A8" s="58">
        <v>1510085</v>
      </c>
      <c r="B8" s="58" t="s">
        <v>91</v>
      </c>
      <c r="C8" s="59" t="s">
        <v>92</v>
      </c>
      <c r="D8" s="59"/>
      <c r="E8" s="59"/>
    </row>
    <row r="9" spans="1:5" ht="18" x14ac:dyDescent="0.35">
      <c r="A9" s="61">
        <v>1734129</v>
      </c>
      <c r="B9" s="58" t="s">
        <v>93</v>
      </c>
      <c r="C9" s="60" t="s">
        <v>94</v>
      </c>
      <c r="D9" s="60"/>
      <c r="E9" s="60"/>
    </row>
    <row r="10" spans="1:5" ht="18" x14ac:dyDescent="0.35">
      <c r="A10" s="58">
        <v>1733621</v>
      </c>
      <c r="B10" s="58" t="s">
        <v>95</v>
      </c>
      <c r="C10" s="59" t="s">
        <v>94</v>
      </c>
      <c r="D10" s="59"/>
      <c r="E10" s="59"/>
    </row>
    <row r="11" spans="1:5" ht="18" x14ac:dyDescent="0.35">
      <c r="A11" s="58">
        <v>1705407</v>
      </c>
      <c r="B11" s="58" t="s">
        <v>97</v>
      </c>
      <c r="C11" s="59"/>
      <c r="D11" s="59"/>
      <c r="E11" s="59" t="s">
        <v>98</v>
      </c>
    </row>
    <row r="12" spans="1:5" ht="18" x14ac:dyDescent="0.35">
      <c r="A12" s="61">
        <v>1719806</v>
      </c>
      <c r="B12" s="58" t="s">
        <v>99</v>
      </c>
      <c r="C12" s="60"/>
      <c r="D12" s="60"/>
      <c r="E12" s="60" t="s">
        <v>126</v>
      </c>
    </row>
    <row r="13" spans="1:5" ht="18" x14ac:dyDescent="0.35">
      <c r="A13" s="58">
        <v>1391551</v>
      </c>
      <c r="B13" s="58" t="s">
        <v>101</v>
      </c>
      <c r="C13" s="59"/>
      <c r="D13" s="59"/>
      <c r="E13" s="60" t="s">
        <v>100</v>
      </c>
    </row>
    <row r="14" spans="1:5" ht="18" x14ac:dyDescent="0.35">
      <c r="A14" s="62">
        <v>1720031</v>
      </c>
      <c r="B14" s="58" t="s">
        <v>103</v>
      </c>
      <c r="C14" s="59"/>
      <c r="D14" s="59"/>
      <c r="E14" s="59"/>
    </row>
    <row r="15" spans="1:5" ht="18" x14ac:dyDescent="0.35">
      <c r="A15" s="58">
        <v>1709600</v>
      </c>
      <c r="B15" s="58" t="s">
        <v>104</v>
      </c>
      <c r="C15" s="60"/>
      <c r="D15" s="60"/>
      <c r="E15" s="60"/>
    </row>
    <row r="16" spans="1:5" ht="18" x14ac:dyDescent="0.35">
      <c r="A16" s="58">
        <v>193414</v>
      </c>
      <c r="B16" s="58" t="s">
        <v>105</v>
      </c>
      <c r="C16" s="59"/>
      <c r="D16" s="59"/>
      <c r="E16" s="59"/>
    </row>
    <row r="17" spans="1:5" ht="18" x14ac:dyDescent="0.35">
      <c r="A17" s="58">
        <v>193406</v>
      </c>
      <c r="B17" s="58" t="s">
        <v>106</v>
      </c>
      <c r="C17" s="60"/>
      <c r="D17" s="60"/>
      <c r="E17" s="60"/>
    </row>
    <row r="18" spans="1:5" ht="18" x14ac:dyDescent="0.35">
      <c r="A18" s="58">
        <v>193415</v>
      </c>
      <c r="B18" s="58" t="s">
        <v>107</v>
      </c>
      <c r="C18" s="59"/>
      <c r="D18" s="59"/>
      <c r="E18" s="59"/>
    </row>
    <row r="19" spans="1:5" ht="18" x14ac:dyDescent="0.35">
      <c r="A19" s="58">
        <v>1705341</v>
      </c>
      <c r="B19" s="58" t="s">
        <v>108</v>
      </c>
      <c r="C19" s="60"/>
      <c r="D19" s="60"/>
      <c r="E19" s="60"/>
    </row>
    <row r="20" spans="1:5" ht="18" x14ac:dyDescent="0.35">
      <c r="A20" s="62">
        <v>1746907</v>
      </c>
      <c r="B20" s="58" t="s">
        <v>78</v>
      </c>
      <c r="C20" s="59"/>
      <c r="D20" s="59"/>
      <c r="E20" s="59"/>
    </row>
    <row r="21" spans="1:5" ht="18" x14ac:dyDescent="0.35">
      <c r="A21" s="58">
        <v>1503543</v>
      </c>
      <c r="B21" s="58" t="s">
        <v>117</v>
      </c>
      <c r="C21" s="59"/>
      <c r="D21" s="59" t="s">
        <v>118</v>
      </c>
      <c r="E21" s="59"/>
    </row>
    <row r="22" spans="1:5" ht="18" x14ac:dyDescent="0.35">
      <c r="A22" s="61">
        <v>1703558</v>
      </c>
      <c r="B22" s="58" t="s">
        <v>119</v>
      </c>
      <c r="C22" s="60"/>
      <c r="D22" s="60" t="s">
        <v>120</v>
      </c>
      <c r="E22" s="60"/>
    </row>
    <row r="23" spans="1:5" ht="18" x14ac:dyDescent="0.35">
      <c r="A23" s="62">
        <v>1707256</v>
      </c>
      <c r="B23" s="58" t="s">
        <v>82</v>
      </c>
      <c r="C23" s="59"/>
      <c r="D23" s="59"/>
      <c r="E23" s="59"/>
    </row>
    <row r="24" spans="1:5" ht="18" x14ac:dyDescent="0.35">
      <c r="A24" s="62">
        <v>1703247</v>
      </c>
      <c r="B24" s="58" t="s">
        <v>121</v>
      </c>
      <c r="C24" s="59"/>
      <c r="D24" s="59"/>
      <c r="E24" s="59"/>
    </row>
    <row r="25" spans="1:5" ht="18" x14ac:dyDescent="0.35">
      <c r="A25" s="61">
        <v>1702897</v>
      </c>
      <c r="B25" s="58" t="s">
        <v>80</v>
      </c>
      <c r="C25" s="60"/>
      <c r="D25" s="60"/>
      <c r="E25" s="60"/>
    </row>
    <row r="26" spans="1:5" ht="18" x14ac:dyDescent="0.35">
      <c r="A26" s="58">
        <v>1730898</v>
      </c>
      <c r="B26" s="58" t="s">
        <v>85</v>
      </c>
      <c r="C26" s="60"/>
      <c r="D26" s="60" t="s">
        <v>84</v>
      </c>
      <c r="E26" s="60"/>
    </row>
    <row r="27" spans="1:5" ht="18" x14ac:dyDescent="0.35">
      <c r="A27" s="62">
        <v>1703454</v>
      </c>
      <c r="B27" s="58" t="s">
        <v>86</v>
      </c>
      <c r="C27" s="59"/>
      <c r="D27" s="59"/>
      <c r="E27" s="59"/>
    </row>
    <row r="28" spans="1:5" ht="18" x14ac:dyDescent="0.35">
      <c r="A28" s="62">
        <v>1705368</v>
      </c>
      <c r="B28" s="58" t="s">
        <v>88</v>
      </c>
      <c r="C28" s="59"/>
      <c r="D28" s="59"/>
      <c r="E28" s="59"/>
    </row>
    <row r="29" spans="1:5" ht="18" x14ac:dyDescent="0.35">
      <c r="A29" s="58">
        <v>1703383</v>
      </c>
      <c r="B29" s="58" t="s">
        <v>96</v>
      </c>
      <c r="C29" s="60"/>
      <c r="D29" s="60"/>
      <c r="E29" s="60"/>
    </row>
    <row r="30" spans="1:5" ht="18" x14ac:dyDescent="0.35">
      <c r="A30" s="58">
        <v>1703498</v>
      </c>
      <c r="B30" s="58" t="s">
        <v>110</v>
      </c>
      <c r="C30" s="60"/>
      <c r="D30" s="60"/>
      <c r="E30" s="60"/>
    </row>
    <row r="31" spans="1:5" ht="18" x14ac:dyDescent="0.35">
      <c r="A31" s="58">
        <v>1707350</v>
      </c>
      <c r="B31" s="58" t="s">
        <v>111</v>
      </c>
      <c r="C31" s="59"/>
      <c r="D31" s="59"/>
      <c r="E31" s="59"/>
    </row>
    <row r="32" spans="1:5" ht="18" x14ac:dyDescent="0.35">
      <c r="A32" s="61">
        <v>1730929</v>
      </c>
      <c r="B32" s="58" t="s">
        <v>112</v>
      </c>
      <c r="C32" s="60"/>
      <c r="D32" s="60"/>
      <c r="E32" s="60"/>
    </row>
    <row r="33" spans="1:5" ht="18" x14ac:dyDescent="0.35">
      <c r="A33" s="62">
        <v>1709740</v>
      </c>
      <c r="B33" s="58" t="s">
        <v>113</v>
      </c>
      <c r="C33" s="59"/>
      <c r="D33" s="59"/>
      <c r="E33" s="59"/>
    </row>
    <row r="34" spans="1:5" ht="18" x14ac:dyDescent="0.35">
      <c r="A34" s="61">
        <v>1709254</v>
      </c>
      <c r="B34" s="58" t="s">
        <v>114</v>
      </c>
      <c r="C34" s="60"/>
      <c r="D34" s="60"/>
      <c r="E34" s="60"/>
    </row>
    <row r="35" spans="1:5" ht="18" x14ac:dyDescent="0.35">
      <c r="A35" s="62">
        <v>1736043</v>
      </c>
      <c r="B35" s="58" t="s">
        <v>115</v>
      </c>
      <c r="C35" s="59"/>
      <c r="D35" s="59"/>
      <c r="E35" s="59"/>
    </row>
    <row r="36" spans="1:5" ht="18" x14ac:dyDescent="0.35">
      <c r="A36" s="58">
        <v>1710956</v>
      </c>
      <c r="B36" s="58" t="s">
        <v>116</v>
      </c>
      <c r="C36" s="60"/>
      <c r="D36" s="60"/>
      <c r="E36" s="60"/>
    </row>
    <row r="37" spans="1:5" ht="18" x14ac:dyDescent="0.35">
      <c r="A37" s="58">
        <v>1719961</v>
      </c>
      <c r="B37" s="58" t="s">
        <v>122</v>
      </c>
      <c r="C37" s="60"/>
      <c r="D37" s="60"/>
      <c r="E37" s="60"/>
    </row>
    <row r="38" spans="1:5" ht="18" x14ac:dyDescent="0.35">
      <c r="A38" s="62">
        <v>1482414</v>
      </c>
      <c r="B38" s="58" t="s">
        <v>123</v>
      </c>
      <c r="C38" s="59"/>
      <c r="D38" s="59"/>
      <c r="E38" s="59"/>
    </row>
    <row r="39" spans="1:5" ht="18" x14ac:dyDescent="0.35">
      <c r="A39" s="63">
        <v>720191</v>
      </c>
      <c r="B39" s="58" t="s">
        <v>124</v>
      </c>
      <c r="C39" s="60"/>
      <c r="D39" s="60"/>
      <c r="E39" s="60"/>
    </row>
  </sheetData>
  <pageMargins left="0.7" right="0.7" top="0.75" bottom="0.75" header="0.3" footer="0.3"/>
  <pageSetup paperSize="9" scale="61" orientation="landscape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002B-45C8-4D0F-8A0C-2D567A30086C}">
  <sheetPr codeName="Sheet8"/>
  <dimension ref="C3:K14"/>
  <sheetViews>
    <sheetView workbookViewId="0">
      <selection activeCell="B2" sqref="B2"/>
    </sheetView>
  </sheetViews>
  <sheetFormatPr defaultColWidth="8.81640625" defaultRowHeight="14.5" x14ac:dyDescent="0.35"/>
  <cols>
    <col min="1" max="16384" width="8.81640625" style="67"/>
  </cols>
  <sheetData>
    <row r="3" spans="3:11" x14ac:dyDescent="0.35">
      <c r="C3" s="66"/>
      <c r="D3" s="66"/>
      <c r="E3" s="66"/>
      <c r="F3" s="66"/>
      <c r="G3" s="66"/>
      <c r="H3" s="66"/>
      <c r="I3" s="66"/>
      <c r="J3" s="66"/>
      <c r="K3" s="66"/>
    </row>
    <row r="4" spans="3:11" x14ac:dyDescent="0.35">
      <c r="C4" s="66"/>
      <c r="D4" s="66"/>
      <c r="E4" s="66"/>
      <c r="F4" s="66"/>
      <c r="G4" s="66"/>
      <c r="H4" s="66"/>
      <c r="I4" s="66"/>
      <c r="J4" s="66"/>
      <c r="K4" s="66"/>
    </row>
    <row r="5" spans="3:11" x14ac:dyDescent="0.35">
      <c r="C5" s="66"/>
      <c r="D5" s="66"/>
      <c r="E5" s="66"/>
      <c r="F5" s="66"/>
      <c r="G5" s="66"/>
      <c r="H5" s="66"/>
      <c r="I5" s="66"/>
      <c r="J5" s="66"/>
    </row>
    <row r="8" spans="3:11" x14ac:dyDescent="0.35">
      <c r="E8" s="66"/>
      <c r="F8" s="66"/>
      <c r="G8" s="66"/>
      <c r="H8" s="66"/>
      <c r="I8" s="66"/>
    </row>
    <row r="9" spans="3:11" x14ac:dyDescent="0.35">
      <c r="E9" s="66"/>
      <c r="F9" s="66"/>
      <c r="G9" s="66"/>
      <c r="H9" s="66"/>
      <c r="I9" s="66"/>
    </row>
    <row r="10" spans="3:11" x14ac:dyDescent="0.35">
      <c r="E10" s="66"/>
      <c r="F10" s="66"/>
      <c r="G10" s="66"/>
      <c r="H10" s="66"/>
      <c r="I10" s="66"/>
    </row>
    <row r="11" spans="3:11" x14ac:dyDescent="0.35">
      <c r="E11" s="66"/>
      <c r="F11" s="66"/>
      <c r="G11" s="66"/>
      <c r="H11" s="66"/>
      <c r="I11" s="66"/>
    </row>
    <row r="12" spans="3:11" x14ac:dyDescent="0.35">
      <c r="E12" s="66"/>
      <c r="F12" s="66"/>
      <c r="G12" s="66"/>
      <c r="H12" s="66"/>
      <c r="I12" s="66"/>
    </row>
    <row r="13" spans="3:11" x14ac:dyDescent="0.35">
      <c r="E13" s="66"/>
      <c r="F13" s="66"/>
      <c r="G13" s="66"/>
      <c r="H13" s="66"/>
      <c r="I13" s="66"/>
    </row>
    <row r="14" spans="3:11" x14ac:dyDescent="0.35">
      <c r="E14" s="66"/>
      <c r="F14" s="66"/>
      <c r="G14" s="66"/>
      <c r="H14" s="66"/>
    </row>
  </sheetData>
  <dataValidations count="1">
    <dataValidation type="whole" operator="greaterThan" allowBlank="1" showInputMessage="1" showErrorMessage="1" errorTitle="Positive Integer" error="Positive Integer daal de KHAPITAR!!!" promptTitle="Roll No" prompt="Roll Number must be a Positive Integeer" sqref="C3 E8:F8" xr:uid="{B4695648-8C81-40FC-BC27-81CB84925EB4}">
      <formula1>0</formula1>
    </dataValidation>
  </dataValidations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Sheet1</vt:lpstr>
      <vt:lpstr>Sheet2</vt:lpstr>
      <vt:lpstr>Sheet3</vt:lpstr>
      <vt:lpstr>Sheet5</vt:lpstr>
      <vt:lpstr>Sheet4</vt:lpstr>
      <vt:lpstr>Sheet6</vt:lpstr>
      <vt:lpstr>Sheet7</vt:lpstr>
      <vt:lpstr>Sheet8</vt:lpstr>
      <vt:lpstr>CentreNo</vt:lpstr>
      <vt:lpstr>ExamDate</vt:lpstr>
      <vt:lpstr>Heading</vt:lpstr>
      <vt:lpstr>SubjectNameCode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Anusha;Janendra</dc:creator>
  <cp:lastModifiedBy>Avinash Ingle</cp:lastModifiedBy>
  <cp:lastPrinted>2022-04-26T03:12:33Z</cp:lastPrinted>
  <dcterms:created xsi:type="dcterms:W3CDTF">2021-04-03T17:20:17Z</dcterms:created>
  <dcterms:modified xsi:type="dcterms:W3CDTF">2022-05-02T17:47:59Z</dcterms:modified>
</cp:coreProperties>
</file>