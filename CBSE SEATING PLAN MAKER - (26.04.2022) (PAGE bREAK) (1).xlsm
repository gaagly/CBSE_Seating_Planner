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ngl\OneDrive\Desktop\CBSE\26.04.2022\"/>
    </mc:Choice>
  </mc:AlternateContent>
  <xr:revisionPtr revIDLastSave="0" documentId="13_ncr:1_{98C53A52-53D9-48BA-A2D9-A199F8EEEF76}" xr6:coauthVersionLast="47" xr6:coauthVersionMax="47" xr10:uidLastSave="{00000000-0000-0000-0000-000000000000}"/>
  <workbookProtection workbookAlgorithmName="SHA-512" workbookHashValue="50w8X7HJJvIG1XSNtOLTCZWPW3m23qf08xqX/yuIt84ml7TQ7/5YWTkjonA5EBRqqR1T18Gu1urNOCLdU0DvmA==" workbookSaltValue="hQxWjn2DUf6bdDCIEd2GYQ==" workbookSpinCount="100000" lockStructure="1"/>
  <bookViews>
    <workbookView xWindow="-110" yWindow="-110" windowWidth="19420" windowHeight="10300" activeTab="1" xr2:uid="{00000000-000D-0000-FFFF-FFFF00000000}"/>
  </bookViews>
  <sheets>
    <sheet name="Sheet1" sheetId="1" r:id="rId1"/>
    <sheet name="Sheet2" sheetId="2" r:id="rId2"/>
    <sheet name="Sheet3" sheetId="3" r:id="rId3"/>
    <sheet name="Sheet5" sheetId="6" r:id="rId4"/>
    <sheet name="Sheet4" sheetId="5" r:id="rId5"/>
    <sheet name="Sheet6" sheetId="7" r:id="rId6"/>
    <sheet name="Sheet7" sheetId="8" r:id="rId7"/>
    <sheet name="Sheet8" sheetId="9" r:id="rId8"/>
  </sheets>
  <definedNames>
    <definedName name="CentreNo">Sheet1!$D$15</definedName>
    <definedName name="ExamDate">Sheet1!$D$16</definedName>
    <definedName name="Heading">Sheet1!$D$14</definedName>
    <definedName name="SubjectNameCode">Sheet1!$D$17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7" l="1"/>
  <c r="D21" i="7"/>
  <c r="D20" i="7"/>
  <c r="D19" i="7"/>
  <c r="D18" i="7"/>
  <c r="D17" i="7"/>
  <c r="B6" i="5"/>
  <c r="B5" i="5"/>
  <c r="B4" i="5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H2" i="1" l="1"/>
  <c r="A2" i="1" l="1"/>
  <c r="F6" i="1" s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7" i="1" l="1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Anusha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E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Anusha: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Default Value is zero. Input a whole number</t>
        </r>
      </text>
    </comment>
  </commentList>
</comments>
</file>

<file path=xl/sharedStrings.xml><?xml version="1.0" encoding="utf-8"?>
<sst xmlns="http://schemas.openxmlformats.org/spreadsheetml/2006/main" count="192" uniqueCount="155">
  <si>
    <t>Available Rooms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</si>
  <si>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</si>
  <si>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</si>
  <si>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</si>
  <si>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</si>
  <si>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</si>
  <si>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</si>
  <si>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</si>
  <si>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</si>
  <si>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</si>
  <si>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</si>
  <si>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</si>
  <si>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Exams taking classes</t>
  </si>
  <si>
    <t>Class room status</t>
  </si>
  <si>
    <t>School Name</t>
  </si>
  <si>
    <t>EXAM NAME</t>
  </si>
  <si>
    <t>First Roll No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</si>
  <si>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</si>
  <si>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</si>
  <si>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</si>
  <si>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</si>
  <si>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</si>
  <si>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</si>
  <si>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Total Available SEATING Capacity</t>
  </si>
  <si>
    <t>Total Limited SEATING Capacity</t>
  </si>
  <si>
    <t>EXAM DATE</t>
  </si>
  <si>
    <t>SUBJECT NAME &amp; CODE</t>
  </si>
  <si>
    <t>NAME LIST</t>
  </si>
  <si>
    <t>HEADING</t>
  </si>
  <si>
    <t>CENTRE NO.</t>
  </si>
  <si>
    <t>822018 - KENDRIYA VIDYALAYA MIRC AHMEDNAGAR MR</t>
  </si>
  <si>
    <t>CENTRE NAME</t>
  </si>
  <si>
    <t>SUBJECT</t>
  </si>
  <si>
    <t>DATE</t>
  </si>
  <si>
    <t>Roll No</t>
  </si>
  <si>
    <t>QP. Code</t>
  </si>
  <si>
    <t>Total No. Students</t>
  </si>
  <si>
    <t>Present</t>
  </si>
  <si>
    <t>Absent</t>
  </si>
  <si>
    <t>Signature of Centre Superintendent (TeachID: 1705824)</t>
  </si>
  <si>
    <t>ROOM NO.</t>
  </si>
  <si>
    <t>FROM</t>
  </si>
  <si>
    <t>TO</t>
  </si>
  <si>
    <t>12A</t>
  </si>
  <si>
    <t>11A</t>
  </si>
  <si>
    <t>10B</t>
  </si>
  <si>
    <t>10A</t>
  </si>
  <si>
    <t>9B</t>
  </si>
  <si>
    <t>9A</t>
  </si>
  <si>
    <t>ROOM 01</t>
  </si>
  <si>
    <t>ROOM 02</t>
  </si>
  <si>
    <t>GROUND FLOOR</t>
  </si>
  <si>
    <t>FIRST FLOOR</t>
  </si>
  <si>
    <t>ROOM 03</t>
  </si>
  <si>
    <t>ROOM 04</t>
  </si>
  <si>
    <t>ROOM 05</t>
  </si>
  <si>
    <t>ROOM 06</t>
  </si>
  <si>
    <t>ROOM 07</t>
  </si>
  <si>
    <t>ROOM 08</t>
  </si>
  <si>
    <t>ROOM 09</t>
  </si>
  <si>
    <t>ROOM 10</t>
  </si>
  <si>
    <t>ROOM 11</t>
  </si>
  <si>
    <t>ROOM 12</t>
  </si>
  <si>
    <t>ROOM 13</t>
  </si>
  <si>
    <t>Column1</t>
  </si>
  <si>
    <t>Column2</t>
  </si>
  <si>
    <t>Column3</t>
  </si>
  <si>
    <t>ROOM 14</t>
  </si>
  <si>
    <t>ROOM NAME</t>
  </si>
  <si>
    <t>TeachID</t>
  </si>
  <si>
    <t>TEACHER NAME</t>
  </si>
  <si>
    <t>ROLES</t>
  </si>
  <si>
    <t>BEFORE EXAM</t>
  </si>
  <si>
    <t>AFTER EXAM</t>
  </si>
  <si>
    <t>PRAVEEN KUMAR</t>
  </si>
  <si>
    <t>CENTER SUPERINTENDENT</t>
  </si>
  <si>
    <t>PARSHURAM WANGDARE</t>
  </si>
  <si>
    <t>DEPUTY CENTER SUPERINTENDENT</t>
  </si>
  <si>
    <t>POOJA SUBHASH AMBEKAR</t>
  </si>
  <si>
    <t>INVIGILATOR ROOM 01</t>
  </si>
  <si>
    <t>ANUSHA KUMARI</t>
  </si>
  <si>
    <t>INVIGILATOR ROOM 02</t>
  </si>
  <si>
    <t>SHAIKH FARHIN MUSHTAQUE</t>
  </si>
  <si>
    <t>INVIGILATOR ROOM 03</t>
  </si>
  <si>
    <t>GATE DUTY 03</t>
  </si>
  <si>
    <t>SEEMA DUDHALE</t>
  </si>
  <si>
    <t>DHANSHRI MULAY</t>
  </si>
  <si>
    <t>MRS. MANISHA SABLE</t>
  </si>
  <si>
    <t>GANESH GORAKH SHINDE</t>
  </si>
  <si>
    <t>JANENDRA KUMAR YADAV</t>
  </si>
  <si>
    <t>IT PERSON</t>
  </si>
  <si>
    <t>MS. ASMITA DIVATE</t>
  </si>
  <si>
    <t>OBSERVER</t>
  </si>
  <si>
    <t>MR. BHAGWAN SOMA PADAVALE</t>
  </si>
  <si>
    <t>SUPPORT STAFF</t>
  </si>
  <si>
    <t>MRS. GEETANJALI VAIDYA</t>
  </si>
  <si>
    <t>AVINASH INGLE</t>
  </si>
  <si>
    <t>SHAIKH MAHMAD MUJAHED SHIAKH AHMED</t>
  </si>
  <si>
    <t>COORDINATOR 01</t>
  </si>
  <si>
    <t>ANGAD DHULGANDE</t>
  </si>
  <si>
    <t>EVALUATOR 01</t>
  </si>
  <si>
    <t>SURESH SHIRSATH</t>
  </si>
  <si>
    <t>MS.DOLLY KUMARI</t>
  </si>
  <si>
    <t>VISHAL GAWALI</t>
  </si>
  <si>
    <t>SUVARNA BHAGYAWANT SHINDE</t>
  </si>
  <si>
    <t>MRS SHAILAJA GANDHALE TGT </t>
  </si>
  <si>
    <t>MS SANDHYA TRYAMBAKE</t>
  </si>
  <si>
    <t>MRS NEETA OBEROI </t>
  </si>
  <si>
    <t>DAVID SHRIDHAR INGALE</t>
  </si>
  <si>
    <t>VASUDHA DAMLE</t>
  </si>
  <si>
    <t>VIRENDRA PATIL</t>
  </si>
  <si>
    <t>KIRAN KHOSE</t>
  </si>
  <si>
    <t>SARITA</t>
  </si>
  <si>
    <t>SEEMA ASHOK DHONGADE</t>
  </si>
  <si>
    <t>AKSHAY KUMAR</t>
  </si>
  <si>
    <t xml:space="preserve">MRS. DIPALI PARDESHI </t>
  </si>
  <si>
    <t>ARPA CHANDEKAR</t>
  </si>
  <si>
    <t>SHIRISHKUMAR S DHUMALE</t>
  </si>
  <si>
    <t>GATE DUTY 01</t>
  </si>
  <si>
    <t>DR ASHWINI GHOGARE</t>
  </si>
  <si>
    <t xml:space="preserve">GATE DUTY 02 </t>
  </si>
  <si>
    <t>KAVITA PARDESHI</t>
  </si>
  <si>
    <t>NALINI SHIRKE</t>
  </si>
  <si>
    <t>MADHURI ARUN UPADHYE</t>
  </si>
  <si>
    <t>MRS ZAINAB NAGARWALLA</t>
  </si>
  <si>
    <t xml:space="preserve">ROOM PLAN </t>
  </si>
  <si>
    <t>EVALUATOR 02</t>
  </si>
  <si>
    <t>SECONDARY SCHOOL EXAMINATION 2022 (Term-II)</t>
  </si>
  <si>
    <t>26.04.2022</t>
  </si>
  <si>
    <t>049 - PAINTING</t>
  </si>
  <si>
    <t>7C</t>
  </si>
  <si>
    <t>7A</t>
  </si>
  <si>
    <t>7B</t>
  </si>
  <si>
    <t>6A</t>
  </si>
  <si>
    <t>6B</t>
  </si>
  <si>
    <t>6C</t>
  </si>
  <si>
    <t>8A</t>
  </si>
  <si>
    <t>8B</t>
  </si>
  <si>
    <t>ROOM 15</t>
  </si>
  <si>
    <t>ROOM 16</t>
  </si>
  <si>
    <t>ROOM 17</t>
  </si>
  <si>
    <t>ROOM 18</t>
  </si>
  <si>
    <t>ROOM 19</t>
  </si>
  <si>
    <t>ROOM 20</t>
  </si>
  <si>
    <t>5C</t>
  </si>
  <si>
    <t>5B</t>
  </si>
  <si>
    <t>5A</t>
  </si>
  <si>
    <t>4A</t>
  </si>
  <si>
    <t>4B</t>
  </si>
  <si>
    <t>4C</t>
  </si>
  <si>
    <t>ROOM 01 - ACTIVITY ROOM</t>
  </si>
  <si>
    <t>SEATING PLAN FOR CBSE EXAM - 2021-22</t>
  </si>
  <si>
    <t>Name, TeachID &amp; Signature of _x000D_
Asstt. Superintendents</t>
  </si>
  <si>
    <t>last row</t>
  </si>
  <si>
    <t>Signature of Observer (TeachID: 1510085)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</si>
</sst>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Arial"/>
      <family val="2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theme="1"/>
      <name val="Times New Roman"/>
      <family val="1"/>
    </font>
    <font>
      <sz val="14"/>
      <color rgb="FF000000"/>
      <name val="Times New Roman"/>
      <family val="1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4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Times New Roman"/>
      <family val="1"/>
    </font>
    <font>
      <b/>
      <sz val="16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72"/>
      <color theme="1"/>
      <name val="Times New Roman"/>
      <family val="1"/>
    </font>
    <font>
      <b/>
      <sz val="65"/>
      <color theme="1"/>
      <name val="Times New Roman"/>
      <family val="1"/>
    </font>
    <font>
      <b/>
      <sz val="36"/>
      <color theme="1"/>
      <name val="Times New Roman"/>
      <family val="1"/>
    </font>
    <font>
      <sz val="36"/>
      <color theme="1"/>
      <name val="Calibri"/>
      <family val="2"/>
      <scheme val="minor"/>
    </font>
    <font>
      <b/>
      <sz val="80"/>
      <color theme="1"/>
      <name val="Times New Roman"/>
      <family val="1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22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000000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/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000000"/>
      </left>
      <right/>
      <top style="thin">
        <color rgb="FF8EA9DB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1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 applyAlignment="1">
      <alignment wrapText="1"/>
    </xf>
    <xf numFmtId="0" fontId="0" fillId="4" borderId="12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4" borderId="16" xfId="0" applyFill="1" applyBorder="1" applyProtection="1">
      <protection locked="0"/>
    </xf>
    <xf numFmtId="0" fontId="1" fillId="0" borderId="11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" fillId="7" borderId="16" xfId="0" applyFont="1" applyFill="1" applyBorder="1" applyAlignment="1">
      <alignment wrapText="1"/>
    </xf>
    <xf numFmtId="0" fontId="1" fillId="6" borderId="1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9" xfId="0" applyFont="1" applyFill="1" applyBorder="1" applyAlignment="1">
      <alignment wrapText="1"/>
    </xf>
    <xf numFmtId="0" fontId="0" fillId="4" borderId="17" xfId="0" applyFill="1" applyBorder="1" applyProtection="1">
      <protection locked="0"/>
    </xf>
    <xf numFmtId="0" fontId="4" fillId="4" borderId="1" xfId="0" applyFont="1" applyFill="1" applyBorder="1" applyAlignment="1" applyProtection="1">
      <alignment wrapText="1"/>
      <protection locked="0"/>
    </xf>
    <xf numFmtId="0" fontId="0" fillId="4" borderId="0" xfId="0" applyFill="1" applyProtection="1">
      <protection locked="0"/>
    </xf>
    <xf numFmtId="164" fontId="0" fillId="4" borderId="0" xfId="0" applyNumberFormat="1" applyFill="1" applyProtection="1">
      <protection locked="0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right" vertical="center"/>
    </xf>
    <xf numFmtId="0" fontId="12" fillId="0" borderId="0" xfId="0" applyFont="1" applyBorder="1"/>
    <xf numFmtId="1" fontId="12" fillId="0" borderId="0" xfId="0" applyNumberFormat="1" applyFont="1" applyBorder="1"/>
    <xf numFmtId="0" fontId="12" fillId="0" borderId="0" xfId="0" applyFont="1" applyBorder="1" applyAlignment="1">
      <alignment horizontal="center"/>
    </xf>
    <xf numFmtId="1" fontId="12" fillId="0" borderId="0" xfId="0" applyNumberFormat="1" applyFont="1" applyBorder="1" applyAlignment="1">
      <alignment horizontal="center"/>
    </xf>
    <xf numFmtId="1" fontId="0" fillId="0" borderId="0" xfId="0" applyNumberFormat="1" applyBorder="1"/>
    <xf numFmtId="0" fontId="14" fillId="0" borderId="0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9" fillId="0" borderId="0" xfId="0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0" fontId="22" fillId="10" borderId="0" xfId="0" applyFont="1" applyFill="1" applyAlignment="1">
      <alignment horizontal="center" wrapText="1"/>
    </xf>
    <xf numFmtId="0" fontId="23" fillId="10" borderId="0" xfId="0" applyFont="1" applyFill="1"/>
    <xf numFmtId="0" fontId="16" fillId="8" borderId="0" xfId="0" applyFont="1" applyFill="1" applyAlignment="1">
      <alignment vertical="center"/>
    </xf>
    <xf numFmtId="0" fontId="21" fillId="9" borderId="0" xfId="0" applyFont="1" applyFill="1"/>
    <xf numFmtId="0" fontId="21" fillId="0" borderId="0" xfId="0" applyFont="1"/>
    <xf numFmtId="0" fontId="16" fillId="0" borderId="0" xfId="0" applyFont="1" applyAlignment="1">
      <alignment vertical="center"/>
    </xf>
    <xf numFmtId="0" fontId="16" fillId="9" borderId="0" xfId="0" applyFont="1" applyFill="1" applyAlignment="1">
      <alignment vertical="center"/>
    </xf>
    <xf numFmtId="0" fontId="16" fillId="8" borderId="19" xfId="0" applyFont="1" applyFill="1" applyBorder="1" applyAlignment="1">
      <alignment vertical="center"/>
    </xf>
    <xf numFmtId="0" fontId="24" fillId="0" borderId="1" xfId="0" applyFont="1" applyBorder="1" applyAlignment="1">
      <alignment horizontal="left" vertical="center" wrapText="1"/>
    </xf>
    <xf numFmtId="1" fontId="24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center" wrapText="1"/>
    </xf>
    <xf numFmtId="1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5" fontId="27" fillId="0" borderId="0" xfId="0" applyNumberFormat="1" applyFont="1" applyBorder="1" applyAlignment="1">
      <alignment vertical="center"/>
    </xf>
    <xf numFmtId="0" fontId="4" fillId="4" borderId="0" xfId="0" applyFont="1" applyFill="1" applyBorder="1" applyAlignment="1" applyProtection="1">
      <alignment wrapText="1"/>
      <protection locked="0"/>
    </xf>
    <xf numFmtId="0" fontId="12" fillId="0" borderId="1" xfId="0" applyFont="1" applyBorder="1" applyAlignment="1">
      <alignment horizontal="center" wrapText="1"/>
    </xf>
    <xf numFmtId="1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left" vertical="center" wrapText="1"/>
    </xf>
    <xf numFmtId="0" fontId="4" fillId="0" borderId="0" xfId="0" applyFont="1" applyFill="1" applyBorder="1" applyAlignment="1" applyProtection="1">
      <alignment wrapText="1"/>
      <protection locked="0"/>
    </xf>
    <xf numFmtId="0" fontId="0" fillId="0" borderId="0" xfId="0" applyFill="1" applyBorder="1"/>
    <xf numFmtId="0" fontId="16" fillId="8" borderId="0" xfId="0" applyFont="1" applyFill="1" applyBorder="1" applyAlignment="1">
      <alignment vertical="center"/>
    </xf>
    <xf numFmtId="0" fontId="31" fillId="0" borderId="1" xfId="0" applyFont="1" applyBorder="1" applyAlignment="1">
      <alignment horizontal="center" vertical="center"/>
    </xf>
    <xf numFmtId="0" fontId="0" fillId="0" borderId="0" xfId="0" applyNumberFormat="1"/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29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fill>
        <patternFill patternType="solid">
          <fgColor rgb="FFDDEBF7"/>
          <bgColor rgb="FFDDEBF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Times New Roman"/>
        <family val="1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520700</xdr:colOff>
          <xdr:row>8</xdr:row>
          <xdr:rowOff>279400</xdr:rowOff>
        </xdr:from>
        <xdr:to>
          <xdr:col>11</xdr:col>
          <xdr:colOff>596900</xdr:colOff>
          <xdr:row>9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4686E9-EF52-47C4-8B5F-A31DDEC8470B}" name="Table1" displayName="Table1" ref="A2:D22" totalsRowShown="0">
  <autoFilter ref="A2:D22" xr:uid="{E0E4685E-A94B-4D9F-8F1B-908397C596C5}"/>
  <sortState xmlns:xlrd2="http://schemas.microsoft.com/office/spreadsheetml/2017/richdata2" ref="A3:C16">
    <sortCondition ref="A2:A16"/>
  </sortState>
  <tableColumns count="4">
    <tableColumn id="1" xr3:uid="{8C71276B-A7F9-43BD-8F4B-5DFFFA886C58}" name="Column1"/>
    <tableColumn id="2" xr3:uid="{5E88531D-E09B-48FE-A1A1-438BD134F666}" name="Column2"/>
    <tableColumn id="3" xr3:uid="{1E7F82F4-1BF1-4D06-B15F-2118478C18FA}" name="Column3"/>
    <tableColumn id="4" xr3:uid="{16424228-251C-49D1-963F-66E5CC98D072}" name="ROOM NAME" dataDxfId="8">
      <calculatedColumnFormula>CONCATENATE(Table1[[#This Row],[Column1]]," - ",Table1[[#This Row],[Column2]]," - ",Table1[[#This Row],[Column3]])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FCED5B-0A4C-42C2-A150-E86FC643035D}" name="Table2" displayName="Table2" ref="A1:E39" totalsRowShown="0" headerRowDxfId="7" dataDxfId="6">
  <autoFilter ref="A1:E39" xr:uid="{51E7D309-DD49-4897-B00C-AE377D516939}"/>
  <sortState xmlns:xlrd2="http://schemas.microsoft.com/office/spreadsheetml/2017/richdata2" ref="A2:E39">
    <sortCondition ref="C1:C39"/>
  </sortState>
  <tableColumns count="5">
    <tableColumn id="1" xr3:uid="{357A3A9E-2213-4E95-9A81-5184B3B03754}" name="TeachID"/>
    <tableColumn id="2" xr3:uid="{030F0D01-BBB1-4ED9-B5E8-23BF8E5439CC}" name="TEACHER NAME" dataDxfId="5"/>
    <tableColumn id="3" xr3:uid="{EF60F143-0426-41BA-ACE8-25A3BFBF6BF0}" name="ROLES" dataDxfId="4"/>
    <tableColumn id="4" xr3:uid="{0FE797A0-B845-4E9F-85AB-30B2CDA78A3B}" name="BEFORE EXAM" dataDxfId="3"/>
    <tableColumn id="5" xr3:uid="{B969650B-BCE8-4C3E-987B-318FCC97BB59}" name="AFTER EXAM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5"/>
  <sheetViews>
    <sheetView workbookViewId="0">
      <selection activeCell="F10" sqref="F10"/>
    </sheetView>
  </sheetViews>
  <sheetFormatPr defaultColWidth="8.81640625" defaultRowHeight="14.5" x14ac:dyDescent="0.35"/>
  <cols>
    <col min="1" max="1" width="15.81640625" bestFit="1" customWidth="1"/>
    <col min="3" max="3" width="23.453125" style="8" customWidth="1"/>
    <col min="4" max="4" width="16.81640625" customWidth="1"/>
    <col min="5" max="5" width="18" customWidth="1"/>
    <col min="8" max="8" width="9.1796875" style="33"/>
  </cols>
  <sheetData>
    <row r="1" spans="1:42" s="5" customFormat="1" ht="15" thickBot="1" x14ac:dyDescent="0.4">
      <c r="A1" s="6" t="s">
        <v>0</v>
      </c>
      <c r="B1"/>
      <c r="C1" s="8"/>
      <c r="D1"/>
      <c r="E1"/>
      <c r="F1"/>
      <c r="G1"/>
      <c r="H1" s="13" t="s">
        <v>27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P1" s="5">
        <v>42</v>
      </c>
    </row>
    <row r="2" spans="1:42" s="7" customFormat="1" ht="15" thickBot="1" x14ac:dyDescent="0.4">
      <c r="A2" s="7">
        <f>COUNTA(A3:A60)</f>
        <v>1</v>
      </c>
      <c r="B2"/>
      <c r="C2" s="8"/>
      <c r="D2"/>
      <c r="E2"/>
      <c r="F2"/>
      <c r="G2" t="s">
        <v>21</v>
      </c>
      <c r="H2" s="7">
        <f>COUNTA(H3:H1048576)</f>
        <v>1</v>
      </c>
      <c r="I2" s="7" t="str">
        <f t="shared" ref="I2:AK2" si="0">IF(I3="","",I4-I3+1)</f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42" x14ac:dyDescent="0.35">
      <c r="A3" s="11" t="s">
        <v>150</v>
      </c>
      <c r="C3" s="22" t="s">
        <v>10</v>
      </c>
      <c r="D3" s="17">
        <v>6</v>
      </c>
      <c r="G3" t="s">
        <v>16</v>
      </c>
      <c r="H3" s="32">
        <v>15101842</v>
      </c>
      <c r="I3" s="3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42" ht="15" thickBot="1" x14ac:dyDescent="0.4">
      <c r="A4" s="11"/>
      <c r="C4" s="23" t="s">
        <v>11</v>
      </c>
      <c r="D4" s="18">
        <v>3</v>
      </c>
      <c r="E4" s="10"/>
      <c r="F4" s="10"/>
      <c r="H4" s="32"/>
      <c r="I4" s="3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N4">
        <v>42</v>
      </c>
    </row>
    <row r="5" spans="1:42" ht="30" customHeight="1" x14ac:dyDescent="0.35">
      <c r="A5" s="11"/>
      <c r="C5" s="24" t="s">
        <v>18</v>
      </c>
      <c r="D5" s="19">
        <f>D3*D4</f>
        <v>18</v>
      </c>
      <c r="E5" s="26" t="s">
        <v>19</v>
      </c>
      <c r="F5" s="12">
        <v>0</v>
      </c>
      <c r="H5" s="32"/>
    </row>
    <row r="6" spans="1:42" ht="30" customHeight="1" x14ac:dyDescent="0.35">
      <c r="A6" s="11"/>
      <c r="C6" s="24" t="s">
        <v>23</v>
      </c>
      <c r="D6" s="19">
        <f>A2*D5</f>
        <v>18</v>
      </c>
      <c r="E6" s="27" t="s">
        <v>24</v>
      </c>
      <c r="F6" s="14">
        <f>F5*A2</f>
        <v>0</v>
      </c>
      <c r="H6" s="32"/>
    </row>
    <row r="7" spans="1:42" ht="30" customHeight="1" x14ac:dyDescent="0.35">
      <c r="A7" s="11"/>
      <c r="C7" s="24" t="s">
        <v>12</v>
      </c>
      <c r="D7" s="19">
        <f>COUNTA(H3:AK3)</f>
        <v>1</v>
      </c>
      <c r="E7" s="28"/>
      <c r="F7" s="15"/>
      <c r="H7" s="32"/>
    </row>
    <row r="8" spans="1:42" ht="30" customHeight="1" x14ac:dyDescent="0.35">
      <c r="A8" s="11"/>
      <c r="C8" s="24" t="s">
        <v>17</v>
      </c>
      <c r="D8" s="19">
        <f>SUM(H2:AK2)</f>
        <v>1</v>
      </c>
      <c r="E8" s="29"/>
      <c r="F8" s="14"/>
      <c r="H8" s="32"/>
    </row>
    <row r="9" spans="1:42" ht="30" customHeight="1" thickBot="1" x14ac:dyDescent="0.4">
      <c r="A9" s="11"/>
      <c r="C9" s="24" t="s">
        <v>13</v>
      </c>
      <c r="D9" s="20" t="str">
        <f>IF(D8/D5 &lt;A2,"Sufficient rooms available","Not Sufficient")</f>
        <v>Sufficient rooms available</v>
      </c>
      <c r="E9" s="30" t="s">
        <v>20</v>
      </c>
      <c r="F9" s="16" t="str">
        <f>IF(F5=0,"NO LIMIT per class",IF(F6&gt;=D8,"Sufficient rooms available","Not Sufficient"))</f>
        <v>NO LIMIT per class</v>
      </c>
      <c r="H9" s="32"/>
      <c r="J9" s="9"/>
    </row>
    <row r="10" spans="1:42" ht="30" customHeight="1" x14ac:dyDescent="0.35">
      <c r="A10" s="11"/>
      <c r="C10" s="24" t="s">
        <v>22</v>
      </c>
      <c r="D10" s="19">
        <f>IF(F5=0,ROUNDUP(D8/D5,0),ROUNDUP(D8/F5,0))</f>
        <v>1</v>
      </c>
      <c r="H10" s="32"/>
    </row>
    <row r="11" spans="1:42" x14ac:dyDescent="0.35">
      <c r="A11" s="11"/>
      <c r="H11" s="32"/>
    </row>
    <row r="12" spans="1:42" x14ac:dyDescent="0.35">
      <c r="A12" s="11"/>
      <c r="C12" s="25" t="s">
        <v>14</v>
      </c>
      <c r="D12" s="21" t="s">
        <v>30</v>
      </c>
      <c r="H12" s="32"/>
    </row>
    <row r="13" spans="1:42" x14ac:dyDescent="0.35">
      <c r="A13" s="11"/>
      <c r="C13" s="25" t="s">
        <v>15</v>
      </c>
      <c r="D13" s="21" t="s">
        <v>127</v>
      </c>
      <c r="H13" s="32"/>
    </row>
    <row r="14" spans="1:42" x14ac:dyDescent="0.35">
      <c r="A14" s="11"/>
      <c r="C14" s="25" t="s">
        <v>28</v>
      </c>
      <c r="D14" s="21" t="s">
        <v>151</v>
      </c>
      <c r="H14" s="32"/>
    </row>
    <row r="15" spans="1:42" x14ac:dyDescent="0.35">
      <c r="A15" s="11"/>
      <c r="C15" s="25" t="s">
        <v>29</v>
      </c>
      <c r="D15" s="21">
        <v>822018</v>
      </c>
      <c r="H15" s="32"/>
    </row>
    <row r="16" spans="1:42" x14ac:dyDescent="0.35">
      <c r="A16" s="11"/>
      <c r="C16" s="25" t="s">
        <v>25</v>
      </c>
      <c r="D16" s="34" t="s">
        <v>128</v>
      </c>
      <c r="H16" s="32"/>
    </row>
    <row r="17" spans="1:8" x14ac:dyDescent="0.35">
      <c r="A17" s="11"/>
      <c r="C17" s="25" t="s">
        <v>26</v>
      </c>
      <c r="D17" s="21" t="s">
        <v>129</v>
      </c>
      <c r="H17" s="32"/>
    </row>
    <row r="18" spans="1:8" x14ac:dyDescent="0.35">
      <c r="A18" s="11"/>
      <c r="H18" s="32"/>
    </row>
    <row r="19" spans="1:8" x14ac:dyDescent="0.35">
      <c r="A19" s="11"/>
      <c r="H19" s="32"/>
    </row>
    <row r="20" spans="1:8" x14ac:dyDescent="0.35">
      <c r="A20" s="11"/>
      <c r="H20" s="32"/>
    </row>
    <row r="21" spans="1:8" x14ac:dyDescent="0.35">
      <c r="A21" s="11"/>
      <c r="H21" s="32"/>
    </row>
    <row r="22" spans="1:8" x14ac:dyDescent="0.35">
      <c r="A22" s="11"/>
      <c r="H22" s="32"/>
    </row>
    <row r="23" spans="1:8" x14ac:dyDescent="0.35">
      <c r="A23" s="11"/>
      <c r="H23" s="32"/>
    </row>
    <row r="24" spans="1:8" x14ac:dyDescent="0.35">
      <c r="A24" s="11"/>
      <c r="H24" s="32"/>
    </row>
    <row r="25" spans="1:8" x14ac:dyDescent="0.35">
      <c r="A25" s="11"/>
      <c r="H25" s="32"/>
    </row>
    <row r="26" spans="1:8" x14ac:dyDescent="0.35">
      <c r="A26" s="11"/>
      <c r="H26" s="32"/>
    </row>
    <row r="27" spans="1:8" x14ac:dyDescent="0.35">
      <c r="A27" s="11"/>
      <c r="H27" s="32"/>
    </row>
    <row r="28" spans="1:8" x14ac:dyDescent="0.35">
      <c r="A28" s="11"/>
      <c r="H28" s="32"/>
    </row>
    <row r="29" spans="1:8" x14ac:dyDescent="0.35">
      <c r="A29" s="11"/>
      <c r="H29" s="32"/>
    </row>
    <row r="30" spans="1:8" x14ac:dyDescent="0.35">
      <c r="A30" s="11"/>
      <c r="H30" s="32"/>
    </row>
    <row r="31" spans="1:8" x14ac:dyDescent="0.35">
      <c r="A31" s="11"/>
      <c r="H31" s="32"/>
    </row>
    <row r="32" spans="1:8" x14ac:dyDescent="0.35">
      <c r="A32" s="11"/>
      <c r="H32" s="32"/>
    </row>
    <row r="33" spans="1:8" x14ac:dyDescent="0.35">
      <c r="A33" s="11"/>
      <c r="H33" s="32"/>
    </row>
    <row r="34" spans="1:8" x14ac:dyDescent="0.35">
      <c r="A34" s="11"/>
      <c r="H34" s="32"/>
    </row>
    <row r="35" spans="1:8" x14ac:dyDescent="0.35">
      <c r="A35" s="11"/>
      <c r="H35" s="32"/>
    </row>
    <row r="36" spans="1:8" x14ac:dyDescent="0.35">
      <c r="A36" s="11"/>
      <c r="H36" s="32"/>
    </row>
    <row r="37" spans="1:8" x14ac:dyDescent="0.35">
      <c r="A37" s="11"/>
      <c r="H37" s="32"/>
    </row>
    <row r="38" spans="1:8" x14ac:dyDescent="0.35">
      <c r="A38" s="11"/>
      <c r="H38" s="32"/>
    </row>
    <row r="39" spans="1:8" x14ac:dyDescent="0.35">
      <c r="A39" s="11"/>
      <c r="H39" s="32"/>
    </row>
    <row r="40" spans="1:8" x14ac:dyDescent="0.35">
      <c r="A40" s="11"/>
      <c r="C40" s="8" t="s">
        <v>153</v>
      </c>
      <c r="D40">
        <v>25</v>
      </c>
      <c r="H40" s="32"/>
    </row>
    <row r="41" spans="1:8" x14ac:dyDescent="0.35">
      <c r="A41" s="11"/>
      <c r="H41" s="32"/>
    </row>
    <row r="42" spans="1:8" x14ac:dyDescent="0.35">
      <c r="A42" s="11"/>
      <c r="H42" s="32"/>
    </row>
    <row r="43" spans="1:8" x14ac:dyDescent="0.35">
      <c r="A43" s="11"/>
      <c r="H43" s="32"/>
    </row>
    <row r="44" spans="1:8" x14ac:dyDescent="0.35">
      <c r="A44" s="11"/>
      <c r="H44" s="32"/>
    </row>
    <row r="45" spans="1:8" x14ac:dyDescent="0.35">
      <c r="A45" s="11"/>
      <c r="H45" s="32"/>
    </row>
    <row r="46" spans="1:8" x14ac:dyDescent="0.35">
      <c r="A46" s="11"/>
      <c r="H46" s="32"/>
    </row>
    <row r="47" spans="1:8" x14ac:dyDescent="0.35">
      <c r="A47" s="11"/>
      <c r="H47" s="32"/>
    </row>
    <row r="48" spans="1:8" x14ac:dyDescent="0.35">
      <c r="A48" s="11"/>
      <c r="H48" s="32"/>
    </row>
    <row r="49" spans="1:8" x14ac:dyDescent="0.35">
      <c r="A49" s="11"/>
      <c r="H49" s="32"/>
    </row>
    <row r="50" spans="1:8" x14ac:dyDescent="0.35">
      <c r="A50" s="11"/>
      <c r="H50" s="32"/>
    </row>
    <row r="51" spans="1:8" x14ac:dyDescent="0.35">
      <c r="A51" s="11"/>
      <c r="H51" s="32"/>
    </row>
    <row r="52" spans="1:8" x14ac:dyDescent="0.35">
      <c r="A52" s="11"/>
      <c r="H52" s="32"/>
    </row>
    <row r="53" spans="1:8" x14ac:dyDescent="0.35">
      <c r="A53" s="11"/>
      <c r="H53" s="32"/>
    </row>
    <row r="54" spans="1:8" x14ac:dyDescent="0.35">
      <c r="A54" s="11"/>
      <c r="H54" s="32"/>
    </row>
    <row r="55" spans="1:8" x14ac:dyDescent="0.35">
      <c r="A55" s="11"/>
      <c r="H55" s="32"/>
    </row>
    <row r="56" spans="1:8" x14ac:dyDescent="0.35">
      <c r="A56" s="11"/>
      <c r="H56" s="32"/>
    </row>
    <row r="57" spans="1:8" x14ac:dyDescent="0.35">
      <c r="A57" s="11"/>
      <c r="H57" s="32"/>
    </row>
    <row r="58" spans="1:8" x14ac:dyDescent="0.35">
      <c r="A58" s="11"/>
      <c r="H58" s="32"/>
    </row>
    <row r="59" spans="1:8" x14ac:dyDescent="0.35">
      <c r="A59" s="11"/>
      <c r="H59" s="32"/>
    </row>
    <row r="60" spans="1:8" x14ac:dyDescent="0.35">
      <c r="A60" s="11"/>
      <c r="H60" s="32"/>
    </row>
    <row r="61" spans="1:8" x14ac:dyDescent="0.35">
      <c r="H61" s="32"/>
    </row>
    <row r="62" spans="1:8" x14ac:dyDescent="0.35">
      <c r="H62" s="32"/>
    </row>
    <row r="63" spans="1:8" x14ac:dyDescent="0.35">
      <c r="H63" s="32"/>
    </row>
    <row r="64" spans="1:8" x14ac:dyDescent="0.35">
      <c r="H64" s="32"/>
    </row>
    <row r="65" spans="8:8" x14ac:dyDescent="0.35">
      <c r="H65" s="32"/>
    </row>
    <row r="66" spans="8:8" x14ac:dyDescent="0.35">
      <c r="H66" s="32"/>
    </row>
    <row r="67" spans="8:8" x14ac:dyDescent="0.35">
      <c r="H67" s="32"/>
    </row>
    <row r="68" spans="8:8" x14ac:dyDescent="0.35">
      <c r="H68" s="32"/>
    </row>
    <row r="69" spans="8:8" x14ac:dyDescent="0.35">
      <c r="H69" s="32"/>
    </row>
    <row r="70" spans="8:8" x14ac:dyDescent="0.35">
      <c r="H70" s="32"/>
    </row>
    <row r="71" spans="8:8" x14ac:dyDescent="0.35">
      <c r="H71" s="32"/>
    </row>
    <row r="72" spans="8:8" x14ac:dyDescent="0.35">
      <c r="H72" s="32"/>
    </row>
    <row r="73" spans="8:8" x14ac:dyDescent="0.35">
      <c r="H73" s="32"/>
    </row>
    <row r="74" spans="8:8" x14ac:dyDescent="0.35">
      <c r="H74" s="32"/>
    </row>
    <row r="75" spans="8:8" x14ac:dyDescent="0.35">
      <c r="H75" s="32"/>
    </row>
    <row r="76" spans="8:8" x14ac:dyDescent="0.35">
      <c r="H76" s="32"/>
    </row>
    <row r="77" spans="8:8" x14ac:dyDescent="0.35">
      <c r="H77" s="32"/>
    </row>
    <row r="78" spans="8:8" x14ac:dyDescent="0.35">
      <c r="H78" s="32"/>
    </row>
    <row r="79" spans="8:8" x14ac:dyDescent="0.35">
      <c r="H79" s="32"/>
    </row>
    <row r="80" spans="8:8" x14ac:dyDescent="0.35">
      <c r="H80" s="32"/>
    </row>
    <row r="81" spans="8:8" x14ac:dyDescent="0.35">
      <c r="H81" s="32"/>
    </row>
    <row r="82" spans="8:8" x14ac:dyDescent="0.35">
      <c r="H82" s="32"/>
    </row>
    <row r="83" spans="8:8" x14ac:dyDescent="0.35">
      <c r="H83" s="32"/>
    </row>
    <row r="84" spans="8:8" x14ac:dyDescent="0.35">
      <c r="H84" s="32"/>
    </row>
    <row r="85" spans="8:8" x14ac:dyDescent="0.35">
      <c r="H85" s="32"/>
    </row>
  </sheetData>
  <sheetProtection algorithmName="SHA-512" hashValue="EuQ0xPogq6hVq9kvONn5xg7/ASw719fQ7L4zzTM0SdNWNLOSBR9NYFWJuWokZNQmEUW+zGO50vz2/7bYlNju+g==" saltValue="eoFF7/m3Mhp7GFnOO+LkOQ==" spinCount="100000" sheet="1" objects="1" scenarios="1"/>
  <dataValidations count="2">
    <dataValidation type="whole" operator="lessThan" allowBlank="1" showInputMessage="1" showErrorMessage="1" sqref="F5" xr:uid="{00000000-0002-0000-0000-000000000000}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 xr:uid="{00000000-0002-0000-00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520700</xdr:colOff>
                    <xdr:row>8</xdr:row>
                    <xdr:rowOff>279400</xdr:rowOff>
                  </from>
                  <to>
                    <xdr:col>11</xdr:col>
                    <xdr:colOff>596900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23"/>
  <sheetViews>
    <sheetView tabSelected="1" topLeftCell="A10" zoomScale="55" zoomScaleNormal="55" workbookViewId="0">
      <selection activeCell="B4" sqref="B4"/>
    </sheetView>
  </sheetViews>
  <sheetFormatPr defaultColWidth="21.453125" defaultRowHeight="31.5" customHeight="1" x14ac:dyDescent="0.35"/>
  <cols>
    <col min="1" max="6" width="30" style="35" customWidth="1"/>
    <col min="7" max="16384" width="21.453125" style="35"/>
  </cols>
  <sheetData>
    <row r="1" spans="1:8" ht="31.5" customHeight="1" x14ac:dyDescent="0.35">
      <c r="A1" s="36" t="s">
        <v>151</v>
      </c>
    </row>
    <row r="2" spans="1:8" ht="31.5" customHeight="1" x14ac:dyDescent="0.35">
      <c r="A2" s="35" t="s">
        <v>31</v>
      </c>
      <c r="B2" s="37" t="s">
        <v>30</v>
      </c>
    </row>
    <row r="3" spans="1:8" ht="31.5" customHeight="1" x14ac:dyDescent="0.35">
      <c r="A3" s="35" t="s">
        <v>29</v>
      </c>
      <c r="B3" s="37">
        <v>822018</v>
      </c>
    </row>
    <row r="4" spans="1:8" ht="31.5" customHeight="1" x14ac:dyDescent="0.35">
      <c r="A4" s="35" t="s">
        <v>15</v>
      </c>
      <c r="B4" s="37" t="s">
        <v>127</v>
      </c>
    </row>
    <row r="5" spans="1:8" ht="31.5" customHeight="1" x14ac:dyDescent="0.35">
      <c r="A5" s="35" t="s">
        <v>32</v>
      </c>
      <c r="B5" s="37" t="s">
        <v>129</v>
      </c>
    </row>
    <row r="6" spans="1:8" ht="31.5" customHeight="1" x14ac:dyDescent="0.35">
      <c r="A6" s="35" t="s">
        <v>33</v>
      </c>
      <c r="B6" s="37" t="s">
        <v>128</v>
      </c>
    </row>
    <row r="8" spans="1:8" ht="31.5" customHeight="1" x14ac:dyDescent="0.35">
      <c r="A8" s="39" t="s">
        <v>150</v>
      </c>
    </row>
    <row r="9" spans="1:8" ht="31.5" customHeight="1" x14ac:dyDescent="0.35">
      <c r="A9" s="40" t="s">
        <v>34</v>
      </c>
      <c r="B9" s="40" t="s">
        <v>35</v>
      </c>
      <c r="C9" s="40" t="s">
        <v>34</v>
      </c>
      <c r="D9" s="40" t="s">
        <v>35</v>
      </c>
      <c r="E9" s="40" t="s">
        <v>34</v>
      </c>
      <c r="F9" s="40" t="s">
        <v>35</v>
      </c>
      <c r="G9" s="40" t="s">
        <v>34</v>
      </c>
      <c r="H9" s="40" t="s">
        <v>35</v>
      </c>
    </row>
    <row r="10" spans="1:8" ht="31.5" customHeight="1" x14ac:dyDescent="0.35">
      <c r="A10" s="41">
        <v>15101842</v>
      </c>
      <c r="B10" s="41"/>
    </row>
    <row r="17" spans="1:6" ht="31.5" customHeight="1" x14ac:dyDescent="0.45">
      <c r="A17" s="35" t="s">
        <v>152</v>
      </c>
      <c r="E17" s="42" t="s">
        <v>36</v>
      </c>
      <c r="F17" s="43">
        <v>1</v>
      </c>
    </row>
    <row r="18" spans="1:6" ht="31.5" customHeight="1" x14ac:dyDescent="0.35">
      <c r="A18" s="38">
        <v>1</v>
      </c>
      <c r="E18" s="44" t="s">
        <v>37</v>
      </c>
      <c r="F18" s="44"/>
    </row>
    <row r="19" spans="1:6" ht="31.5" customHeight="1" x14ac:dyDescent="0.35">
      <c r="A19" s="38">
        <v>2</v>
      </c>
      <c r="E19" s="44" t="s">
        <v>38</v>
      </c>
      <c r="F19" s="44"/>
    </row>
    <row r="23" spans="1:6" ht="31.5" customHeight="1" x14ac:dyDescent="0.35">
      <c r="A23" s="45" t="s">
        <v>154</v>
      </c>
      <c r="F23" s="46" t="s">
        <v>39</v>
      </c>
    </row>
  </sheetData>
  <pageMargins left="0.70866141732283472" right="0.70866141732283472" top="0.74803149606299213" bottom="0.74803149606299213" header="0.31496062992125984" footer="0.31496062992125984"/>
  <pageSetup paperSize="9" scale="58" orientation="landscape" r:id="rId1"/>
  <rowBreaks count="1" manualBreakCount="1">
    <brk id="2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"/>
  <sheetViews>
    <sheetView workbookViewId="0">
      <selection activeCell="C6" sqref="C6"/>
    </sheetView>
  </sheetViews>
  <sheetFormatPr defaultColWidth="8.81640625" defaultRowHeight="14.5" x14ac:dyDescent="0.35"/>
  <cols>
    <col min="1" max="1" width="7.36328125" customWidth="1"/>
    <col min="2" max="2" width="15.453125" bestFit="1" customWidth="1"/>
    <col min="3" max="8" width="7.36328125" customWidth="1"/>
  </cols>
  <sheetData>
    <row r="1" spans="1:14" ht="35" customHeight="1" x14ac:dyDescent="0.35">
      <c r="A1" s="1" t="s">
        <v>1</v>
      </c>
      <c r="B1" s="3">
        <v>44290.521006944444</v>
      </c>
      <c r="D1" s="2"/>
      <c r="F1" s="2"/>
      <c r="H1" s="2"/>
    </row>
    <row r="2" spans="1:14" ht="35" customHeight="1" x14ac:dyDescent="0.35">
      <c r="A2" s="2" t="s">
        <v>6</v>
      </c>
      <c r="B2" s="4">
        <v>44290.521099537036</v>
      </c>
      <c r="C2" s="2"/>
      <c r="E2" s="2"/>
      <c r="G2" s="2"/>
    </row>
    <row r="3" spans="1:14" ht="35" customHeight="1" x14ac:dyDescent="0.35">
      <c r="A3" t="s">
        <v>9</v>
      </c>
      <c r="B3" s="3">
        <v>44290.521296296298</v>
      </c>
      <c r="D3" s="2"/>
      <c r="F3" s="2"/>
      <c r="H3" s="2"/>
    </row>
    <row r="4" spans="1:14" ht="35" customHeight="1" x14ac:dyDescent="0.35">
      <c r="A4" s="2" t="s">
        <v>7</v>
      </c>
      <c r="B4" s="4">
        <v>44290.521180555559</v>
      </c>
      <c r="C4" s="2"/>
      <c r="E4" s="2"/>
      <c r="G4" s="2"/>
    </row>
    <row r="5" spans="1:14" ht="35" customHeight="1" x14ac:dyDescent="0.35">
      <c r="A5" t="s">
        <v>8</v>
      </c>
      <c r="B5" s="3">
        <v>44290.521238425928</v>
      </c>
      <c r="D5" s="2"/>
      <c r="F5" s="2"/>
      <c r="H5" s="2"/>
      <c r="I5" t="s">
        <v>2</v>
      </c>
      <c r="J5" t="s">
        <v>4</v>
      </c>
      <c r="N5" t="s">
        <v>2</v>
      </c>
    </row>
    <row r="6" spans="1:14" ht="35" customHeight="1" x14ac:dyDescent="0.35">
      <c r="A6" s="2"/>
      <c r="C6" s="2"/>
      <c r="E6" s="2"/>
      <c r="G6" s="2"/>
      <c r="I6" t="s">
        <v>2</v>
      </c>
      <c r="N6" t="s">
        <v>2</v>
      </c>
    </row>
    <row r="7" spans="1:14" ht="35" customHeight="1" x14ac:dyDescent="0.35">
      <c r="B7" s="2"/>
      <c r="D7" s="2"/>
      <c r="F7" s="2"/>
      <c r="H7" s="2"/>
    </row>
    <row r="8" spans="1:14" ht="35" customHeight="1" x14ac:dyDescent="0.35">
      <c r="A8" s="2"/>
      <c r="C8" s="2"/>
      <c r="E8" s="2"/>
      <c r="G8" s="2"/>
    </row>
    <row r="11" spans="1:14" x14ac:dyDescent="0.35">
      <c r="G11" t="s">
        <v>3</v>
      </c>
    </row>
    <row r="12" spans="1:14" x14ac:dyDescent="0.35">
      <c r="G12" t="s">
        <v>3</v>
      </c>
    </row>
    <row r="13" spans="1:14" x14ac:dyDescent="0.35">
      <c r="G13" t="s">
        <v>5</v>
      </c>
    </row>
  </sheetData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0727-B3DD-468A-AE06-815E63582FC5}">
  <sheetPr codeName="Sheet4"/>
  <dimension ref="B3:K22"/>
  <sheetViews>
    <sheetView workbookViewId="0">
      <selection activeCell="B29" sqref="B29"/>
    </sheetView>
  </sheetViews>
  <sheetFormatPr defaultColWidth="8.81640625" defaultRowHeight="14.5" x14ac:dyDescent="0.35"/>
  <sheetData>
    <row r="3" spans="2:6" x14ac:dyDescent="0.35">
      <c r="B3" s="32">
        <v>15600774</v>
      </c>
      <c r="C3" s="32"/>
      <c r="D3" s="32">
        <v>15600782</v>
      </c>
      <c r="E3" s="32"/>
      <c r="F3" s="32">
        <v>15600790</v>
      </c>
    </row>
    <row r="4" spans="2:6" x14ac:dyDescent="0.35">
      <c r="B4" s="32">
        <v>15600775</v>
      </c>
      <c r="C4" s="32"/>
      <c r="D4" s="32">
        <v>15600783</v>
      </c>
      <c r="E4" s="32"/>
      <c r="F4" s="32">
        <v>15600791</v>
      </c>
    </row>
    <row r="5" spans="2:6" x14ac:dyDescent="0.35">
      <c r="B5" s="32">
        <v>15600776</v>
      </c>
      <c r="C5" s="32"/>
      <c r="D5" s="32">
        <v>15600784</v>
      </c>
      <c r="E5" s="32"/>
      <c r="F5" s="32">
        <v>15600792</v>
      </c>
    </row>
    <row r="6" spans="2:6" x14ac:dyDescent="0.35">
      <c r="B6" s="32">
        <v>15600777</v>
      </c>
      <c r="C6" s="32"/>
      <c r="D6" s="32">
        <v>15600785</v>
      </c>
      <c r="E6" s="32"/>
      <c r="F6" s="32">
        <v>15600793</v>
      </c>
    </row>
    <row r="7" spans="2:6" x14ac:dyDescent="0.35">
      <c r="B7" s="32">
        <v>15600778</v>
      </c>
      <c r="C7" s="32"/>
      <c r="D7" s="32">
        <v>15600786</v>
      </c>
      <c r="E7" s="32"/>
      <c r="F7" s="32">
        <v>15600794</v>
      </c>
    </row>
    <row r="8" spans="2:6" x14ac:dyDescent="0.35">
      <c r="B8" s="32">
        <v>15600779</v>
      </c>
      <c r="C8" s="32"/>
      <c r="D8" s="32">
        <v>15600787</v>
      </c>
      <c r="E8" s="32"/>
      <c r="F8" s="32">
        <v>15600795</v>
      </c>
    </row>
    <row r="9" spans="2:6" x14ac:dyDescent="0.35">
      <c r="B9" s="32">
        <v>15600780</v>
      </c>
      <c r="C9" s="32"/>
      <c r="D9" s="32">
        <v>15600788</v>
      </c>
      <c r="E9" s="78"/>
    </row>
    <row r="10" spans="2:6" x14ac:dyDescent="0.35">
      <c r="B10" s="32">
        <v>15600781</v>
      </c>
      <c r="C10" s="32"/>
      <c r="D10" s="32">
        <v>15600789</v>
      </c>
      <c r="E10" s="78"/>
    </row>
    <row r="22" spans="4:11" ht="18" x14ac:dyDescent="0.35">
      <c r="D22" s="54"/>
      <c r="E22" s="85"/>
      <c r="J22" s="54"/>
      <c r="K22" s="55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B3:C3" xr:uid="{5C5D0827-CD58-4951-9F65-178125301B70}">
      <formula1>0</formula1>
    </dataValidation>
  </dataValidations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DC035-976C-4FBC-9B6F-309FEAF63F84}">
  <sheetPr codeName="Sheet5">
    <pageSetUpPr fitToPage="1"/>
  </sheetPr>
  <dimension ref="A1:D51"/>
  <sheetViews>
    <sheetView topLeftCell="A7" zoomScale="40" zoomScaleNormal="40" workbookViewId="0">
      <selection sqref="A1:C10"/>
    </sheetView>
  </sheetViews>
  <sheetFormatPr defaultColWidth="8.81640625" defaultRowHeight="14.5" x14ac:dyDescent="0.35"/>
  <cols>
    <col min="1" max="1" width="99.453125" style="10" customWidth="1"/>
    <col min="2" max="2" width="73.1796875" style="10" customWidth="1"/>
    <col min="3" max="3" width="70.1796875" style="10" customWidth="1"/>
    <col min="4" max="16384" width="8.81640625" style="10"/>
  </cols>
  <sheetData>
    <row r="1" spans="1:4" ht="67.25" customHeight="1" x14ac:dyDescent="0.35">
      <c r="A1" s="91" t="s">
        <v>125</v>
      </c>
      <c r="B1" s="91"/>
      <c r="C1" s="91"/>
    </row>
    <row r="2" spans="1:4" ht="118.75" customHeight="1" x14ac:dyDescent="0.35">
      <c r="A2" s="52" t="s">
        <v>31</v>
      </c>
      <c r="B2" s="90" t="s">
        <v>30</v>
      </c>
      <c r="C2" s="90"/>
    </row>
    <row r="3" spans="1:4" ht="31.25" customHeight="1" x14ac:dyDescent="0.35">
      <c r="A3" s="52" t="s">
        <v>29</v>
      </c>
      <c r="B3" s="62">
        <v>822018</v>
      </c>
      <c r="C3" s="61"/>
    </row>
    <row r="4" spans="1:4" ht="31.25" customHeight="1" x14ac:dyDescent="0.35">
      <c r="A4" s="52" t="s">
        <v>15</v>
      </c>
      <c r="B4" s="53" t="str">
        <f>Sheet1!D13</f>
        <v>SECONDARY SCHOOL EXAMINATION 2022 (Term-II)</v>
      </c>
      <c r="C4" s="61"/>
    </row>
    <row r="5" spans="1:4" ht="174" customHeight="1" x14ac:dyDescent="0.35">
      <c r="A5" s="52" t="s">
        <v>32</v>
      </c>
      <c r="B5" s="92" t="str">
        <f>SubjectNameCode</f>
        <v>049 - PAINTING</v>
      </c>
      <c r="C5" s="92"/>
    </row>
    <row r="6" spans="1:4" ht="90" x14ac:dyDescent="0.35">
      <c r="A6" s="52" t="s">
        <v>33</v>
      </c>
      <c r="B6" s="77" t="str">
        <f>ExamDate</f>
        <v>26.04.2022</v>
      </c>
      <c r="C6" s="61"/>
    </row>
    <row r="7" spans="1:4" ht="31.25" customHeight="1" x14ac:dyDescent="0.65">
      <c r="A7" s="47"/>
      <c r="B7" s="48"/>
      <c r="C7" s="47"/>
    </row>
    <row r="8" spans="1:4" ht="31.25" customHeight="1" x14ac:dyDescent="0.65">
      <c r="A8" s="49"/>
      <c r="B8" s="50"/>
      <c r="C8" s="49"/>
    </row>
    <row r="9" spans="1:4" ht="92.5" customHeight="1" x14ac:dyDescent="0.65">
      <c r="A9" s="79" t="s">
        <v>40</v>
      </c>
      <c r="B9" s="80" t="s">
        <v>41</v>
      </c>
      <c r="C9" s="81" t="s">
        <v>42</v>
      </c>
      <c r="D9" s="51"/>
    </row>
    <row r="10" spans="1:4" ht="129" customHeight="1" x14ac:dyDescent="0.35">
      <c r="A10" s="88" t="s">
        <v>150</v>
      </c>
      <c r="B10" s="89">
        <v>15101842</v>
      </c>
      <c r="C10" s="89">
        <v>15101842</v>
      </c>
      <c r="D10" s="51"/>
    </row>
    <row r="11" spans="1:4" ht="129" customHeight="1" x14ac:dyDescent="0.35">
      <c r="A11" s="82"/>
      <c r="B11" s="86"/>
      <c r="C11" s="86"/>
      <c r="D11" s="51"/>
    </row>
    <row r="12" spans="1:4" ht="66" customHeight="1" x14ac:dyDescent="0.35">
      <c r="A12" s="74"/>
      <c r="B12" s="75"/>
      <c r="C12" s="76"/>
      <c r="D12" s="51"/>
    </row>
    <row r="13" spans="1:4" ht="66" customHeight="1" x14ac:dyDescent="0.35">
      <c r="A13" s="71"/>
      <c r="B13" s="72"/>
      <c r="C13" s="73"/>
      <c r="D13" s="51"/>
    </row>
    <row r="14" spans="1:4" ht="66" customHeight="1" x14ac:dyDescent="0.35">
      <c r="A14" s="60"/>
      <c r="B14" s="59"/>
      <c r="C14" s="59"/>
      <c r="D14" s="51"/>
    </row>
    <row r="15" spans="1:4" ht="66" customHeight="1" x14ac:dyDescent="0.35">
      <c r="A15" s="60"/>
      <c r="B15" s="59"/>
      <c r="C15" s="59"/>
      <c r="D15" s="51"/>
    </row>
    <row r="16" spans="1:4" ht="66" customHeight="1" x14ac:dyDescent="0.35">
      <c r="A16" s="60"/>
      <c r="B16" s="59"/>
      <c r="C16" s="59"/>
      <c r="D16" s="51"/>
    </row>
    <row r="17" spans="1:4" ht="66" customHeight="1" x14ac:dyDescent="0.35">
      <c r="A17" s="58"/>
      <c r="B17" s="56"/>
      <c r="C17" s="56"/>
      <c r="D17" s="51"/>
    </row>
    <row r="18" spans="1:4" ht="66" customHeight="1" x14ac:dyDescent="0.35">
      <c r="A18" s="58"/>
      <c r="B18" s="56"/>
      <c r="C18" s="56"/>
      <c r="D18" s="51"/>
    </row>
    <row r="19" spans="1:4" ht="66" customHeight="1" x14ac:dyDescent="0.35">
      <c r="A19" s="58"/>
      <c r="B19" s="56"/>
      <c r="C19" s="56"/>
      <c r="D19" s="51"/>
    </row>
    <row r="20" spans="1:4" ht="66" customHeight="1" x14ac:dyDescent="0.35">
      <c r="A20" s="58"/>
      <c r="B20" s="56"/>
      <c r="C20" s="56"/>
      <c r="D20" s="51"/>
    </row>
    <row r="21" spans="1:4" ht="66" customHeight="1" x14ac:dyDescent="0.35">
      <c r="A21" s="58"/>
      <c r="B21" s="56"/>
      <c r="C21" s="56"/>
      <c r="D21" s="51"/>
    </row>
    <row r="22" spans="1:4" ht="66" customHeight="1" x14ac:dyDescent="0.35">
      <c r="A22" s="58"/>
      <c r="B22" s="56"/>
      <c r="C22" s="56"/>
      <c r="D22" s="51"/>
    </row>
    <row r="23" spans="1:4" ht="66" customHeight="1" x14ac:dyDescent="0.8">
      <c r="A23" s="58"/>
      <c r="B23" s="57"/>
      <c r="C23" s="57"/>
    </row>
    <row r="24" spans="1:4" ht="31.25" customHeight="1" x14ac:dyDescent="0.35">
      <c r="D24" s="51"/>
    </row>
    <row r="25" spans="1:4" ht="31.25" customHeight="1" x14ac:dyDescent="0.35"/>
    <row r="26" spans="1:4" ht="31.25" customHeight="1" x14ac:dyDescent="0.35"/>
    <row r="27" spans="1:4" ht="31.25" customHeight="1" x14ac:dyDescent="0.35"/>
    <row r="28" spans="1:4" ht="31.25" customHeight="1" x14ac:dyDescent="0.35"/>
    <row r="29" spans="1:4" ht="31.25" customHeight="1" x14ac:dyDescent="0.35"/>
    <row r="30" spans="1:4" ht="31.25" customHeight="1" x14ac:dyDescent="0.35"/>
    <row r="31" spans="1:4" ht="31.25" customHeight="1" x14ac:dyDescent="0.35"/>
    <row r="32" spans="1:4" ht="31.25" customHeight="1" x14ac:dyDescent="0.35"/>
    <row r="33" ht="31.25" customHeight="1" x14ac:dyDescent="0.35"/>
    <row r="34" ht="31.25" customHeight="1" x14ac:dyDescent="0.35"/>
    <row r="35" ht="31.25" customHeight="1" x14ac:dyDescent="0.35"/>
    <row r="36" ht="31.25" customHeight="1" x14ac:dyDescent="0.35"/>
    <row r="37" ht="31.25" customHeight="1" x14ac:dyDescent="0.35"/>
    <row r="38" ht="31.25" customHeight="1" x14ac:dyDescent="0.35"/>
    <row r="39" ht="31.25" customHeight="1" x14ac:dyDescent="0.35"/>
    <row r="40" ht="31.25" customHeight="1" x14ac:dyDescent="0.35"/>
    <row r="41" ht="31.25" customHeight="1" x14ac:dyDescent="0.35"/>
    <row r="42" ht="31.25" customHeight="1" x14ac:dyDescent="0.35"/>
    <row r="43" ht="31.25" customHeight="1" x14ac:dyDescent="0.35"/>
    <row r="44" ht="31.25" customHeight="1" x14ac:dyDescent="0.35"/>
    <row r="45" ht="31.25" customHeight="1" x14ac:dyDescent="0.35"/>
    <row r="46" ht="31.25" customHeight="1" x14ac:dyDescent="0.35"/>
    <row r="47" ht="31.25" customHeight="1" x14ac:dyDescent="0.35"/>
    <row r="48" ht="31.25" customHeight="1" x14ac:dyDescent="0.35"/>
    <row r="49" ht="31.25" customHeight="1" x14ac:dyDescent="0.35"/>
    <row r="50" ht="31.25" customHeight="1" x14ac:dyDescent="0.35"/>
    <row r="51" ht="31.25" customHeight="1" x14ac:dyDescent="0.35"/>
  </sheetData>
  <mergeCells count="3">
    <mergeCell ref="B2:C2"/>
    <mergeCell ref="A1:C1"/>
    <mergeCell ref="B5:C5"/>
  </mergeCells>
  <phoneticPr fontId="13" type="noConversion"/>
  <pageMargins left="1.1023622047244095" right="0.70866141732283472" top="0.74803149606299213" bottom="0.74803149606299213" header="0.31496062992125984" footer="0.31496062992125984"/>
  <pageSetup paperSize="8" scale="4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2DFA7-4204-49B0-8D37-7613BE27171B}">
  <sheetPr codeName="Sheet6"/>
  <dimension ref="A2:D22"/>
  <sheetViews>
    <sheetView zoomScale="238" workbookViewId="0">
      <selection activeCell="D3" sqref="D3:D22"/>
    </sheetView>
  </sheetViews>
  <sheetFormatPr defaultColWidth="8.81640625" defaultRowHeight="14.5" x14ac:dyDescent="0.35"/>
  <cols>
    <col min="1" max="3" width="10.453125" customWidth="1"/>
  </cols>
  <sheetData>
    <row r="2" spans="1:4" x14ac:dyDescent="0.35">
      <c r="A2" t="s">
        <v>64</v>
      </c>
      <c r="B2" t="s">
        <v>65</v>
      </c>
      <c r="C2" t="s">
        <v>66</v>
      </c>
      <c r="D2" t="s">
        <v>68</v>
      </c>
    </row>
    <row r="3" spans="1:4" x14ac:dyDescent="0.35">
      <c r="A3" t="s">
        <v>49</v>
      </c>
      <c r="B3" t="s">
        <v>44</v>
      </c>
      <c r="C3" t="s">
        <v>51</v>
      </c>
      <c r="D3" t="str">
        <f>CONCATENATE(Table1[[#This Row],[Column1]]," - ",Table1[[#This Row],[Column2]]," - ",Table1[[#This Row],[Column3]])</f>
        <v>ROOM 01 - 11A - GROUND FLOOR</v>
      </c>
    </row>
    <row r="4" spans="1:4" x14ac:dyDescent="0.35">
      <c r="A4" t="s">
        <v>50</v>
      </c>
      <c r="B4" t="s">
        <v>43</v>
      </c>
      <c r="C4" t="s">
        <v>51</v>
      </c>
      <c r="D4" t="str">
        <f>CONCATENATE(Table1[[#This Row],[Column1]]," - ",Table1[[#This Row],[Column2]]," - ",Table1[[#This Row],[Column3]])</f>
        <v>ROOM 02 - 12A - GROUND FLOOR</v>
      </c>
    </row>
    <row r="5" spans="1:4" x14ac:dyDescent="0.35">
      <c r="A5" t="s">
        <v>53</v>
      </c>
      <c r="B5" t="s">
        <v>46</v>
      </c>
      <c r="C5" t="s">
        <v>51</v>
      </c>
      <c r="D5" t="str">
        <f>CONCATENATE(Table1[[#This Row],[Column1]]," - ",Table1[[#This Row],[Column2]]," - ",Table1[[#This Row],[Column3]])</f>
        <v>ROOM 03 - 10A - GROUND FLOOR</v>
      </c>
    </row>
    <row r="6" spans="1:4" x14ac:dyDescent="0.35">
      <c r="A6" t="s">
        <v>54</v>
      </c>
      <c r="B6" t="s">
        <v>45</v>
      </c>
      <c r="C6" t="s">
        <v>51</v>
      </c>
      <c r="D6" t="str">
        <f>CONCATENATE(Table1[[#This Row],[Column1]]," - ",Table1[[#This Row],[Column2]]," - ",Table1[[#This Row],[Column3]])</f>
        <v>ROOM 04 - 10B - GROUND FLOOR</v>
      </c>
    </row>
    <row r="7" spans="1:4" x14ac:dyDescent="0.35">
      <c r="A7" t="s">
        <v>55</v>
      </c>
      <c r="B7" t="s">
        <v>48</v>
      </c>
      <c r="C7" t="s">
        <v>51</v>
      </c>
      <c r="D7" t="str">
        <f>CONCATENATE(Table1[[#This Row],[Column1]]," - ",Table1[[#This Row],[Column2]]," - ",Table1[[#This Row],[Column3]])</f>
        <v>ROOM 05 - 9A - GROUND FLOOR</v>
      </c>
    </row>
    <row r="8" spans="1:4" x14ac:dyDescent="0.35">
      <c r="A8" t="s">
        <v>56</v>
      </c>
      <c r="B8" t="s">
        <v>47</v>
      </c>
      <c r="C8" t="s">
        <v>51</v>
      </c>
      <c r="D8" t="str">
        <f>CONCATENATE(Table1[[#This Row],[Column1]]," - ",Table1[[#This Row],[Column2]]," - ",Table1[[#This Row],[Column3]])</f>
        <v>ROOM 06 - 9B - GROUND FLOOR</v>
      </c>
    </row>
    <row r="9" spans="1:4" x14ac:dyDescent="0.35">
      <c r="A9" t="s">
        <v>57</v>
      </c>
      <c r="B9" t="s">
        <v>130</v>
      </c>
      <c r="C9" t="s">
        <v>52</v>
      </c>
      <c r="D9" t="str">
        <f>CONCATENATE(Table1[[#This Row],[Column1]]," - ",Table1[[#This Row],[Column2]]," - ",Table1[[#This Row],[Column3]])</f>
        <v>ROOM 07 - 7C - FIRST FLOOR</v>
      </c>
    </row>
    <row r="10" spans="1:4" x14ac:dyDescent="0.35">
      <c r="A10" t="s">
        <v>58</v>
      </c>
      <c r="B10" t="s">
        <v>131</v>
      </c>
      <c r="C10" t="s">
        <v>52</v>
      </c>
      <c r="D10" t="str">
        <f>CONCATENATE(Table1[[#This Row],[Column1]]," - ",Table1[[#This Row],[Column2]]," - ",Table1[[#This Row],[Column3]])</f>
        <v>ROOM 08 - 7A - FIRST FLOOR</v>
      </c>
    </row>
    <row r="11" spans="1:4" x14ac:dyDescent="0.35">
      <c r="A11" t="s">
        <v>59</v>
      </c>
      <c r="B11" t="s">
        <v>132</v>
      </c>
      <c r="C11" t="s">
        <v>52</v>
      </c>
      <c r="D11" t="str">
        <f>CONCATENATE(Table1[[#This Row],[Column1]]," - ",Table1[[#This Row],[Column2]]," - ",Table1[[#This Row],[Column3]])</f>
        <v>ROOM 09 - 7B - FIRST FLOOR</v>
      </c>
    </row>
    <row r="12" spans="1:4" x14ac:dyDescent="0.35">
      <c r="A12" t="s">
        <v>60</v>
      </c>
      <c r="B12" t="s">
        <v>133</v>
      </c>
      <c r="C12" t="s">
        <v>52</v>
      </c>
      <c r="D12" t="str">
        <f>CONCATENATE(Table1[[#This Row],[Column1]]," - ",Table1[[#This Row],[Column2]]," - ",Table1[[#This Row],[Column3]])</f>
        <v>ROOM 10 - 6A - FIRST FLOOR</v>
      </c>
    </row>
    <row r="13" spans="1:4" x14ac:dyDescent="0.35">
      <c r="A13" t="s">
        <v>61</v>
      </c>
      <c r="B13" t="s">
        <v>134</v>
      </c>
      <c r="C13" t="s">
        <v>52</v>
      </c>
      <c r="D13" t="str">
        <f>CONCATENATE(Table1[[#This Row],[Column1]]," - ",Table1[[#This Row],[Column2]]," - ",Table1[[#This Row],[Column3]])</f>
        <v>ROOM 11 - 6B - FIRST FLOOR</v>
      </c>
    </row>
    <row r="14" spans="1:4" x14ac:dyDescent="0.35">
      <c r="A14" t="s">
        <v>62</v>
      </c>
      <c r="B14" t="s">
        <v>135</v>
      </c>
      <c r="D14" t="str">
        <f>CONCATENATE(Table1[[#This Row],[Column1]]," - ",Table1[[#This Row],[Column2]]," - ",Table1[[#This Row],[Column3]])</f>
        <v xml:space="preserve">ROOM 12 - 6C - </v>
      </c>
    </row>
    <row r="15" spans="1:4" x14ac:dyDescent="0.35">
      <c r="A15" t="s">
        <v>63</v>
      </c>
      <c r="B15" t="s">
        <v>136</v>
      </c>
      <c r="C15" t="s">
        <v>52</v>
      </c>
      <c r="D15" t="str">
        <f>CONCATENATE(Table1[[#This Row],[Column1]]," - ",Table1[[#This Row],[Column2]]," - ",Table1[[#This Row],[Column3]])</f>
        <v>ROOM 13 - 8A - FIRST FLOOR</v>
      </c>
    </row>
    <row r="16" spans="1:4" x14ac:dyDescent="0.35">
      <c r="A16" t="s">
        <v>67</v>
      </c>
      <c r="B16" t="s">
        <v>137</v>
      </c>
      <c r="C16" t="s">
        <v>52</v>
      </c>
      <c r="D16" t="str">
        <f>CONCATENATE(Table1[[#This Row],[Column1]]," - ",Table1[[#This Row],[Column2]]," - ",Table1[[#This Row],[Column3]])</f>
        <v>ROOM 14 - 8B - FIRST FLOOR</v>
      </c>
    </row>
    <row r="17" spans="1:4" x14ac:dyDescent="0.35">
      <c r="A17" t="s">
        <v>138</v>
      </c>
      <c r="B17" t="s">
        <v>144</v>
      </c>
      <c r="D17" s="87" t="str">
        <f>CONCATENATE(Table1[[#This Row],[Column1]]," - ",Table1[[#This Row],[Column2]]," - ",Table1[[#This Row],[Column3]])</f>
        <v xml:space="preserve">ROOM 15 - 5C - </v>
      </c>
    </row>
    <row r="18" spans="1:4" x14ac:dyDescent="0.35">
      <c r="A18" t="s">
        <v>139</v>
      </c>
      <c r="B18" t="s">
        <v>145</v>
      </c>
      <c r="D18" s="87" t="str">
        <f>CONCATENATE(Table1[[#This Row],[Column1]]," - ",Table1[[#This Row],[Column2]]," - ",Table1[[#This Row],[Column3]])</f>
        <v xml:space="preserve">ROOM 16 - 5B - </v>
      </c>
    </row>
    <row r="19" spans="1:4" x14ac:dyDescent="0.35">
      <c r="A19" t="s">
        <v>140</v>
      </c>
      <c r="B19" t="s">
        <v>146</v>
      </c>
      <c r="D19" s="87" t="str">
        <f>CONCATENATE(Table1[[#This Row],[Column1]]," - ",Table1[[#This Row],[Column2]]," - ",Table1[[#This Row],[Column3]])</f>
        <v xml:space="preserve">ROOM 17 - 5A - </v>
      </c>
    </row>
    <row r="20" spans="1:4" x14ac:dyDescent="0.35">
      <c r="A20" t="s">
        <v>141</v>
      </c>
      <c r="B20" t="s">
        <v>147</v>
      </c>
      <c r="D20" s="87" t="str">
        <f>CONCATENATE(Table1[[#This Row],[Column1]]," - ",Table1[[#This Row],[Column2]]," - ",Table1[[#This Row],[Column3]])</f>
        <v xml:space="preserve">ROOM 18 - 4A - </v>
      </c>
    </row>
    <row r="21" spans="1:4" x14ac:dyDescent="0.35">
      <c r="A21" t="s">
        <v>142</v>
      </c>
      <c r="B21" t="s">
        <v>148</v>
      </c>
      <c r="D21" s="87" t="str">
        <f>CONCATENATE(Table1[[#This Row],[Column1]]," - ",Table1[[#This Row],[Column2]]," - ",Table1[[#This Row],[Column3]])</f>
        <v xml:space="preserve">ROOM 19 - 4B - </v>
      </c>
    </row>
    <row r="22" spans="1:4" x14ac:dyDescent="0.35">
      <c r="A22" t="s">
        <v>143</v>
      </c>
      <c r="B22" t="s">
        <v>149</v>
      </c>
      <c r="D22" s="87" t="str">
        <f>CONCATENATE(Table1[[#This Row],[Column1]]," - ",Table1[[#This Row],[Column2]]," - ",Table1[[#This Row],[Column3]])</f>
        <v xml:space="preserve">ROOM 20 - 4C - </v>
      </c>
    </row>
  </sheetData>
  <pageMargins left="0.7" right="0.7" top="0.75" bottom="0.75" header="0.3" footer="0.3"/>
  <pageSetup paperSize="9" orientation="landscape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DA66-9D7F-47CE-B315-4ABCD465DB5C}">
  <sheetPr codeName="Sheet7">
    <pageSetUpPr fitToPage="1"/>
  </sheetPr>
  <dimension ref="A1:E39"/>
  <sheetViews>
    <sheetView topLeftCell="A4" workbookViewId="0">
      <selection activeCell="B9" sqref="B9"/>
    </sheetView>
  </sheetViews>
  <sheetFormatPr defaultColWidth="8.81640625" defaultRowHeight="14.5" x14ac:dyDescent="0.35"/>
  <cols>
    <col min="1" max="1" width="14.1796875" customWidth="1"/>
    <col min="2" max="2" width="54.453125" customWidth="1"/>
    <col min="3" max="3" width="30.6328125" bestFit="1" customWidth="1"/>
    <col min="4" max="4" width="25.1796875" customWidth="1"/>
    <col min="5" max="5" width="22.81640625" customWidth="1"/>
  </cols>
  <sheetData>
    <row r="1" spans="1:5" ht="21" x14ac:dyDescent="0.5">
      <c r="A1" s="63" t="s">
        <v>69</v>
      </c>
      <c r="B1" s="63" t="s">
        <v>70</v>
      </c>
      <c r="C1" s="64" t="s">
        <v>71</v>
      </c>
      <c r="D1" s="63" t="s">
        <v>72</v>
      </c>
      <c r="E1" s="63" t="s">
        <v>73</v>
      </c>
    </row>
    <row r="2" spans="1:5" ht="18" x14ac:dyDescent="0.35">
      <c r="A2" s="65">
        <v>1705824</v>
      </c>
      <c r="B2" s="65" t="s">
        <v>74</v>
      </c>
      <c r="C2" s="66" t="s">
        <v>75</v>
      </c>
      <c r="D2" s="66"/>
      <c r="E2" s="66"/>
    </row>
    <row r="3" spans="1:5" ht="18" x14ac:dyDescent="0.35">
      <c r="A3" s="68">
        <v>1460369</v>
      </c>
      <c r="B3" s="65" t="s">
        <v>76</v>
      </c>
      <c r="C3" s="67" t="s">
        <v>77</v>
      </c>
      <c r="D3" s="67"/>
      <c r="E3" s="67"/>
    </row>
    <row r="4" spans="1:5" ht="18" x14ac:dyDescent="0.35">
      <c r="A4" s="65">
        <v>1736081</v>
      </c>
      <c r="B4" s="65" t="s">
        <v>87</v>
      </c>
      <c r="C4" s="66" t="s">
        <v>79</v>
      </c>
      <c r="D4" s="67"/>
      <c r="E4" s="67"/>
    </row>
    <row r="5" spans="1:5" ht="18" x14ac:dyDescent="0.35">
      <c r="A5" s="65">
        <v>1703172</v>
      </c>
      <c r="B5" s="65" t="s">
        <v>109</v>
      </c>
      <c r="C5" s="66" t="s">
        <v>81</v>
      </c>
      <c r="D5" s="66"/>
      <c r="E5" s="66"/>
    </row>
    <row r="6" spans="1:5" ht="18" x14ac:dyDescent="0.35">
      <c r="A6" s="68">
        <v>210968</v>
      </c>
      <c r="B6" s="65" t="s">
        <v>102</v>
      </c>
      <c r="C6" s="66" t="s">
        <v>83</v>
      </c>
      <c r="D6" s="67"/>
      <c r="E6" s="67"/>
    </row>
    <row r="7" spans="1:5" ht="18" x14ac:dyDescent="0.35">
      <c r="A7" s="65">
        <v>1482103</v>
      </c>
      <c r="B7" s="65" t="s">
        <v>89</v>
      </c>
      <c r="C7" s="67" t="s">
        <v>90</v>
      </c>
      <c r="D7" s="67"/>
      <c r="E7" s="67"/>
    </row>
    <row r="8" spans="1:5" ht="18" x14ac:dyDescent="0.35">
      <c r="A8" s="65">
        <v>1510085</v>
      </c>
      <c r="B8" s="65" t="s">
        <v>91</v>
      </c>
      <c r="C8" s="66" t="s">
        <v>92</v>
      </c>
      <c r="D8" s="66"/>
      <c r="E8" s="66"/>
    </row>
    <row r="9" spans="1:5" ht="18" x14ac:dyDescent="0.35">
      <c r="A9" s="68">
        <v>1734129</v>
      </c>
      <c r="B9" s="65" t="s">
        <v>93</v>
      </c>
      <c r="C9" s="67" t="s">
        <v>94</v>
      </c>
      <c r="D9" s="67"/>
      <c r="E9" s="67"/>
    </row>
    <row r="10" spans="1:5" ht="18" x14ac:dyDescent="0.35">
      <c r="A10" s="65">
        <v>1733621</v>
      </c>
      <c r="B10" s="65" t="s">
        <v>95</v>
      </c>
      <c r="C10" s="66" t="s">
        <v>94</v>
      </c>
      <c r="D10" s="66"/>
      <c r="E10" s="66"/>
    </row>
    <row r="11" spans="1:5" ht="18" x14ac:dyDescent="0.35">
      <c r="A11" s="65">
        <v>1705407</v>
      </c>
      <c r="B11" s="65" t="s">
        <v>97</v>
      </c>
      <c r="C11" s="66"/>
      <c r="D11" s="66"/>
      <c r="E11" s="66" t="s">
        <v>98</v>
      </c>
    </row>
    <row r="12" spans="1:5" ht="18" x14ac:dyDescent="0.35">
      <c r="A12" s="68">
        <v>1719806</v>
      </c>
      <c r="B12" s="65" t="s">
        <v>99</v>
      </c>
      <c r="C12" s="67"/>
      <c r="D12" s="67"/>
      <c r="E12" s="67" t="s">
        <v>126</v>
      </c>
    </row>
    <row r="13" spans="1:5" ht="18" x14ac:dyDescent="0.35">
      <c r="A13" s="65">
        <v>1391551</v>
      </c>
      <c r="B13" s="65" t="s">
        <v>101</v>
      </c>
      <c r="C13" s="66"/>
      <c r="D13" s="66"/>
      <c r="E13" s="67" t="s">
        <v>100</v>
      </c>
    </row>
    <row r="14" spans="1:5" ht="18" x14ac:dyDescent="0.35">
      <c r="A14" s="69">
        <v>1720031</v>
      </c>
      <c r="B14" s="65" t="s">
        <v>103</v>
      </c>
      <c r="C14" s="66"/>
      <c r="D14" s="66"/>
      <c r="E14" s="66"/>
    </row>
    <row r="15" spans="1:5" ht="18" x14ac:dyDescent="0.35">
      <c r="A15" s="65">
        <v>1709600</v>
      </c>
      <c r="B15" s="65" t="s">
        <v>104</v>
      </c>
      <c r="C15" s="67"/>
      <c r="D15" s="67"/>
      <c r="E15" s="67"/>
    </row>
    <row r="16" spans="1:5" ht="18" x14ac:dyDescent="0.35">
      <c r="A16" s="65">
        <v>193414</v>
      </c>
      <c r="B16" s="65" t="s">
        <v>105</v>
      </c>
      <c r="C16" s="66"/>
      <c r="D16" s="66"/>
      <c r="E16" s="66"/>
    </row>
    <row r="17" spans="1:5" ht="18" x14ac:dyDescent="0.35">
      <c r="A17" s="65">
        <v>193406</v>
      </c>
      <c r="B17" s="65" t="s">
        <v>106</v>
      </c>
      <c r="C17" s="67"/>
      <c r="D17" s="67"/>
      <c r="E17" s="67"/>
    </row>
    <row r="18" spans="1:5" ht="18" x14ac:dyDescent="0.35">
      <c r="A18" s="65">
        <v>193415</v>
      </c>
      <c r="B18" s="65" t="s">
        <v>107</v>
      </c>
      <c r="C18" s="66"/>
      <c r="D18" s="66"/>
      <c r="E18" s="66"/>
    </row>
    <row r="19" spans="1:5" ht="18" x14ac:dyDescent="0.35">
      <c r="A19" s="65">
        <v>1705341</v>
      </c>
      <c r="B19" s="65" t="s">
        <v>108</v>
      </c>
      <c r="C19" s="67"/>
      <c r="D19" s="67"/>
      <c r="E19" s="67"/>
    </row>
    <row r="20" spans="1:5" ht="18" x14ac:dyDescent="0.35">
      <c r="A20" s="69">
        <v>1746907</v>
      </c>
      <c r="B20" s="65" t="s">
        <v>78</v>
      </c>
      <c r="C20" s="66"/>
      <c r="D20" s="66"/>
      <c r="E20" s="66"/>
    </row>
    <row r="21" spans="1:5" ht="18" x14ac:dyDescent="0.35">
      <c r="A21" s="65">
        <v>1503543</v>
      </c>
      <c r="B21" s="65" t="s">
        <v>117</v>
      </c>
      <c r="C21" s="66"/>
      <c r="D21" s="66" t="s">
        <v>118</v>
      </c>
      <c r="E21" s="66"/>
    </row>
    <row r="22" spans="1:5" ht="18" x14ac:dyDescent="0.35">
      <c r="A22" s="68">
        <v>1703558</v>
      </c>
      <c r="B22" s="65" t="s">
        <v>119</v>
      </c>
      <c r="C22" s="67"/>
      <c r="D22" s="67" t="s">
        <v>120</v>
      </c>
      <c r="E22" s="67"/>
    </row>
    <row r="23" spans="1:5" ht="18" x14ac:dyDescent="0.35">
      <c r="A23" s="69">
        <v>1707256</v>
      </c>
      <c r="B23" s="65" t="s">
        <v>82</v>
      </c>
      <c r="C23" s="66"/>
      <c r="D23" s="66"/>
      <c r="E23" s="66"/>
    </row>
    <row r="24" spans="1:5" ht="18" x14ac:dyDescent="0.35">
      <c r="A24" s="69">
        <v>1703247</v>
      </c>
      <c r="B24" s="65" t="s">
        <v>121</v>
      </c>
      <c r="C24" s="66"/>
      <c r="D24" s="66"/>
      <c r="E24" s="66"/>
    </row>
    <row r="25" spans="1:5" ht="18" x14ac:dyDescent="0.35">
      <c r="A25" s="68">
        <v>1702897</v>
      </c>
      <c r="B25" s="65" t="s">
        <v>80</v>
      </c>
      <c r="C25" s="67"/>
      <c r="D25" s="67"/>
      <c r="E25" s="67"/>
    </row>
    <row r="26" spans="1:5" ht="18" x14ac:dyDescent="0.35">
      <c r="A26" s="65">
        <v>1730898</v>
      </c>
      <c r="B26" s="65" t="s">
        <v>85</v>
      </c>
      <c r="C26" s="67"/>
      <c r="D26" s="67" t="s">
        <v>84</v>
      </c>
      <c r="E26" s="67"/>
    </row>
    <row r="27" spans="1:5" ht="18" x14ac:dyDescent="0.35">
      <c r="A27" s="69">
        <v>1703454</v>
      </c>
      <c r="B27" s="65" t="s">
        <v>86</v>
      </c>
      <c r="C27" s="66"/>
      <c r="D27" s="66"/>
      <c r="E27" s="66"/>
    </row>
    <row r="28" spans="1:5" ht="18" x14ac:dyDescent="0.35">
      <c r="A28" s="69">
        <v>1705368</v>
      </c>
      <c r="B28" s="65" t="s">
        <v>88</v>
      </c>
      <c r="C28" s="66"/>
      <c r="D28" s="66"/>
      <c r="E28" s="66"/>
    </row>
    <row r="29" spans="1:5" ht="18" x14ac:dyDescent="0.35">
      <c r="A29" s="65">
        <v>1703383</v>
      </c>
      <c r="B29" s="65" t="s">
        <v>96</v>
      </c>
      <c r="C29" s="67"/>
      <c r="D29" s="67"/>
      <c r="E29" s="67"/>
    </row>
    <row r="30" spans="1:5" ht="18" x14ac:dyDescent="0.35">
      <c r="A30" s="65">
        <v>1703498</v>
      </c>
      <c r="B30" s="65" t="s">
        <v>110</v>
      </c>
      <c r="C30" s="67"/>
      <c r="D30" s="67"/>
      <c r="E30" s="67"/>
    </row>
    <row r="31" spans="1:5" ht="18" x14ac:dyDescent="0.35">
      <c r="A31" s="65">
        <v>1707350</v>
      </c>
      <c r="B31" s="65" t="s">
        <v>111</v>
      </c>
      <c r="C31" s="66"/>
      <c r="D31" s="66"/>
      <c r="E31" s="66"/>
    </row>
    <row r="32" spans="1:5" ht="18" x14ac:dyDescent="0.35">
      <c r="A32" s="68">
        <v>1730929</v>
      </c>
      <c r="B32" s="65" t="s">
        <v>112</v>
      </c>
      <c r="C32" s="67"/>
      <c r="D32" s="67"/>
      <c r="E32" s="67"/>
    </row>
    <row r="33" spans="1:5" ht="18" x14ac:dyDescent="0.35">
      <c r="A33" s="69">
        <v>1709740</v>
      </c>
      <c r="B33" s="65" t="s">
        <v>113</v>
      </c>
      <c r="C33" s="66"/>
      <c r="D33" s="66"/>
      <c r="E33" s="66"/>
    </row>
    <row r="34" spans="1:5" ht="18" x14ac:dyDescent="0.35">
      <c r="A34" s="68">
        <v>1709254</v>
      </c>
      <c r="B34" s="65" t="s">
        <v>114</v>
      </c>
      <c r="C34" s="67"/>
      <c r="D34" s="67"/>
      <c r="E34" s="67"/>
    </row>
    <row r="35" spans="1:5" ht="18" x14ac:dyDescent="0.35">
      <c r="A35" s="69">
        <v>1736043</v>
      </c>
      <c r="B35" s="65" t="s">
        <v>115</v>
      </c>
      <c r="C35" s="66"/>
      <c r="D35" s="66"/>
      <c r="E35" s="66"/>
    </row>
    <row r="36" spans="1:5" ht="18" x14ac:dyDescent="0.35">
      <c r="A36" s="65">
        <v>1710956</v>
      </c>
      <c r="B36" s="65" t="s">
        <v>116</v>
      </c>
      <c r="C36" s="67"/>
      <c r="D36" s="67"/>
      <c r="E36" s="67"/>
    </row>
    <row r="37" spans="1:5" ht="18" x14ac:dyDescent="0.35">
      <c r="A37" s="65">
        <v>1719961</v>
      </c>
      <c r="B37" s="65" t="s">
        <v>122</v>
      </c>
      <c r="C37" s="67"/>
      <c r="D37" s="67"/>
      <c r="E37" s="67"/>
    </row>
    <row r="38" spans="1:5" ht="18" x14ac:dyDescent="0.35">
      <c r="A38" s="69">
        <v>1482414</v>
      </c>
      <c r="B38" s="65" t="s">
        <v>123</v>
      </c>
      <c r="C38" s="66"/>
      <c r="D38" s="66"/>
      <c r="E38" s="66"/>
    </row>
    <row r="39" spans="1:5" ht="18" x14ac:dyDescent="0.35">
      <c r="A39" s="70">
        <v>720191</v>
      </c>
      <c r="B39" s="65" t="s">
        <v>124</v>
      </c>
      <c r="C39" s="67"/>
      <c r="D39" s="67"/>
      <c r="E39" s="67"/>
    </row>
  </sheetData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002B-45C8-4D0F-8A0C-2D567A30086C}">
  <sheetPr codeName="Sheet8"/>
  <dimension ref="C3:K14"/>
  <sheetViews>
    <sheetView workbookViewId="0">
      <selection activeCell="B2" sqref="B2"/>
    </sheetView>
  </sheetViews>
  <sheetFormatPr defaultColWidth="8.81640625" defaultRowHeight="14.5" x14ac:dyDescent="0.35"/>
  <cols>
    <col min="1" max="16384" width="8.81640625" style="84"/>
  </cols>
  <sheetData>
    <row r="3" spans="3:11" x14ac:dyDescent="0.35">
      <c r="C3" s="83"/>
      <c r="D3" s="83"/>
      <c r="E3" s="83"/>
      <c r="F3" s="83"/>
      <c r="G3" s="83"/>
      <c r="H3" s="83"/>
      <c r="I3" s="83"/>
      <c r="J3" s="83"/>
      <c r="K3" s="83"/>
    </row>
    <row r="4" spans="3:11" x14ac:dyDescent="0.35">
      <c r="C4" s="83"/>
      <c r="D4" s="83"/>
      <c r="E4" s="83"/>
      <c r="F4" s="83"/>
      <c r="G4" s="83"/>
      <c r="H4" s="83"/>
      <c r="I4" s="83"/>
      <c r="J4" s="83"/>
      <c r="K4" s="83"/>
    </row>
    <row r="5" spans="3:11" x14ac:dyDescent="0.35">
      <c r="C5" s="83"/>
      <c r="D5" s="83"/>
      <c r="E5" s="83"/>
      <c r="F5" s="83"/>
      <c r="G5" s="83"/>
      <c r="H5" s="83"/>
      <c r="I5" s="83"/>
      <c r="J5" s="83"/>
    </row>
    <row r="8" spans="3:11" x14ac:dyDescent="0.35">
      <c r="E8" s="83"/>
      <c r="F8" s="83"/>
      <c r="G8" s="83"/>
      <c r="H8" s="83"/>
      <c r="I8" s="83"/>
    </row>
    <row r="9" spans="3:11" x14ac:dyDescent="0.35">
      <c r="E9" s="83"/>
      <c r="F9" s="83"/>
      <c r="G9" s="83"/>
      <c r="H9" s="83"/>
      <c r="I9" s="83"/>
    </row>
    <row r="10" spans="3:11" x14ac:dyDescent="0.35">
      <c r="E10" s="83"/>
      <c r="F10" s="83"/>
      <c r="G10" s="83"/>
      <c r="H10" s="83"/>
      <c r="I10" s="83"/>
    </row>
    <row r="11" spans="3:11" x14ac:dyDescent="0.35">
      <c r="E11" s="83"/>
      <c r="F11" s="83"/>
      <c r="G11" s="83"/>
      <c r="H11" s="83"/>
      <c r="I11" s="83"/>
    </row>
    <row r="12" spans="3:11" x14ac:dyDescent="0.35">
      <c r="E12" s="83"/>
      <c r="F12" s="83"/>
      <c r="G12" s="83"/>
      <c r="H12" s="83"/>
      <c r="I12" s="83"/>
    </row>
    <row r="13" spans="3:11" x14ac:dyDescent="0.35">
      <c r="E13" s="83"/>
      <c r="F13" s="83"/>
      <c r="G13" s="83"/>
      <c r="H13" s="83"/>
      <c r="I13" s="83"/>
    </row>
    <row r="14" spans="3:11" x14ac:dyDescent="0.35">
      <c r="E14" s="83"/>
      <c r="F14" s="83"/>
      <c r="G14" s="83"/>
      <c r="H14" s="83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C3 E8:F8" xr:uid="{B4695648-8C81-40FC-BC27-81CB84925EB4}">
      <formula1>0</formula1>
    </dataValidation>
  </dataValidations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Sheet1</vt:lpstr>
      <vt:lpstr>Sheet2</vt:lpstr>
      <vt:lpstr>Sheet3</vt:lpstr>
      <vt:lpstr>Sheet5</vt:lpstr>
      <vt:lpstr>Sheet4</vt:lpstr>
      <vt:lpstr>Sheet6</vt:lpstr>
      <vt:lpstr>Sheet7</vt:lpstr>
      <vt:lpstr>Sheet8</vt:lpstr>
      <vt:lpstr>CentreNo</vt:lpstr>
      <vt:lpstr>ExamDate</vt:lpstr>
      <vt:lpstr>Heading</vt:lpstr>
      <vt:lpstr>SubjectNameCode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Avinash Ingle</cp:lastModifiedBy>
  <cp:lastPrinted>2022-04-26T03:12:33Z</cp:lastPrinted>
  <dcterms:created xsi:type="dcterms:W3CDTF">2021-04-03T17:20:17Z</dcterms:created>
  <dcterms:modified xsi:type="dcterms:W3CDTF">2022-05-02T16:51:15Z</dcterms:modified>
</cp:coreProperties>
</file>